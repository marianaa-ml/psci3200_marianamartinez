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riana/Desktop/PSCI 3200 literature review/datasets/"/>
    </mc:Choice>
  </mc:AlternateContent>
  <xr:revisionPtr revIDLastSave="15" documentId="8_{1289CEE0-83D5-4D14-AFAC-7CFC4E9386A2}" xr6:coauthVersionLast="47" xr6:coauthVersionMax="47" xr10:uidLastSave="{F98BAE5C-1CE7-43E8-9B7C-B257F09C418B}"/>
  <bookViews>
    <workbookView xWindow="0" yWindow="680" windowWidth="29400" windowHeight="17220" xr2:uid="{E77C4460-E6C6-E24E-BD1C-28B210C8124D}"/>
  </bookViews>
  <sheets>
    <sheet name="CLLAC_2024" sheetId="1" r:id="rId1"/>
    <sheet name="PIV_TABLE" sheetId="4" r:id="rId2"/>
  </sheets>
  <definedNames>
    <definedName name="_xlnm._FilterDatabase" localSheetId="0" hidden="1">CLLAC_2024!$A$2:$K$135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<sst xmlns="http://schemas.openxmlformats.org/spreadsheetml/2006/main" count="1057" uniqueCount="522">
  <si>
    <t>BU ID</t>
  </si>
  <si>
    <t>Year</t>
  </si>
  <si>
    <t>Project Name</t>
  </si>
  <si>
    <t>Loan (USD M)</t>
  </si>
  <si>
    <t>Country</t>
  </si>
  <si>
    <t>Borrower</t>
  </si>
  <si>
    <t>Lender</t>
  </si>
  <si>
    <t>Other Lender</t>
  </si>
  <si>
    <t>Sector</t>
  </si>
  <si>
    <t>Source 1</t>
  </si>
  <si>
    <t>Source 2</t>
  </si>
  <si>
    <t>AG.001</t>
  </si>
  <si>
    <t>Wadadli Power Plant Construction (30MW)</t>
  </si>
  <si>
    <t>Antigua and Barbuda</t>
  </si>
  <si>
    <t>National government</t>
  </si>
  <si>
    <t>CHEXIM</t>
  </si>
  <si>
    <t>Energy</t>
  </si>
  <si>
    <r>
      <t xml:space="preserve">https://web.archive.org/web/20230308135008/https://ab.gov.ag/services/energy/pdf/IRENA_RRA_Antigua_and_Barbuda_2016.pdf, </t>
    </r>
    <r>
      <rPr>
        <u/>
        <sz val="11"/>
        <color rgb="FF1155CC"/>
        <rFont val="Calibri"/>
        <family val="2"/>
      </rPr>
      <t>https://web.archive.org/web/20220614021456/https://audit.gov.ag/assets/uploads/docs/reports_publications/509a8-final-debt-audit-report-2014.pdf</t>
    </r>
    <r>
      <rPr>
        <sz val="11"/>
        <color theme="1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https://ab.gov.ag/pdf/budget/2018_Antigua_Estimates.pdf</t>
    </r>
  </si>
  <si>
    <t>https://www.dropbox.com/s/wwq6tcidfnebtv3/China%20Eximbank%20Loan%20Agreement%20for%20Antigua%20New%20Power%20Plant.pdf?dl=0</t>
  </si>
  <si>
    <t>AG.002</t>
  </si>
  <si>
    <t>V.C. Bird International Airport terminal, Phase 1</t>
  </si>
  <si>
    <t>Transportation</t>
  </si>
  <si>
    <t>https://web.archive.org/web/20211123070258/http://www.mofcom.gov.cn/article/beltandroad/ag/enindex.shtml</t>
  </si>
  <si>
    <t>https://web.archive.org/web/20201127204710/https://audit.gov.ag/assets/uploads/docs/reports_publications/509a8-final-debt-audit-report-2014.pdf</t>
  </si>
  <si>
    <t>AG.003</t>
  </si>
  <si>
    <t>St. John port</t>
  </si>
  <si>
    <t>https://web.archive.org/web/20160127153129/https://ab.gov.ag/pdf/budget_speech_2016.pdf</t>
  </si>
  <si>
    <t>http://www.eximbank.gov.cn/aboutExim/annals/2021_877/202306/U020230609413828602225.pdf</t>
  </si>
  <si>
    <t>AG.004</t>
  </si>
  <si>
    <t>V.C. Bird International Airport terminal, Phase 2</t>
  </si>
  <si>
    <t>https://web.archive.org/web/20181113153629/https://ab.gov.ag/pdf/budget/2017_Antigua_Estimates.pdf</t>
  </si>
  <si>
    <t>https://web.archive.org/web/20230124213208/https://ab.gov.ag/pdf/budget/2022_Antigua_Estimates.pdf</t>
  </si>
  <si>
    <t>AR.000</t>
  </si>
  <si>
    <t>Export sector development</t>
  </si>
  <si>
    <t>Argentina</t>
  </si>
  <si>
    <t>BICE [Banco de Inversion y Comercio Exterior]</t>
  </si>
  <si>
    <t>CDB</t>
  </si>
  <si>
    <t>Industry and Trade/Services</t>
  </si>
  <si>
    <t xml:space="preserve">https://web.archive.org/web/20231117144657/https://www.argentina.gob.ar/sites/default/files/c_2023-05-08-argentina-china.pdf; </t>
  </si>
  <si>
    <t>https://www.dropbox.com/s/zk2e9olpeu4iip6/estado_contable-2.pdf?dl=0</t>
  </si>
  <si>
    <t>AR.001.01</t>
  </si>
  <si>
    <t>Financial Sector</t>
  </si>
  <si>
    <t xml:space="preserve">https://web.archive.org/web/20231117144657/https://www.argentina.gob.ar/sites/default/files/c_2023-05-08-argentina-china.pdf </t>
  </si>
  <si>
    <t>https://web.archive.org/web/20240306202404/http://www.infobae.com/2010/12/02/550087-el-banco-inversion-y-comercio-exterior-busca-consolidar-relacion-china</t>
  </si>
  <si>
    <t>AR.001.02</t>
  </si>
  <si>
    <t>High-speed trains</t>
  </si>
  <si>
    <t>CITIC</t>
  </si>
  <si>
    <t>https://web.archive.org/web/20181116152325/http://servicios.infoleg.gob.ar/infolegInternet/anexos/175000-179999/178361/norma.htm</t>
  </si>
  <si>
    <t>https://web.archive.org/web/20230000000000*/https://farn.org.ar/wp-content/uploads/2022/01/DOC_DEUDA_CHINA_V2.pdf</t>
  </si>
  <si>
    <t>AR.002.01</t>
  </si>
  <si>
    <t>Renewable energy and industrial infrastructure projects</t>
  </si>
  <si>
    <t>Other</t>
  </si>
  <si>
    <t>https://web.archive.org/web/20240306203121/https://www.gov.cn/jrzg/2012-03/15/content_2092419.htm</t>
  </si>
  <si>
    <t>https://web.archive.org/web/20231117144657/https://www.argentina.gob.ar/sites/default/files/c_2023-05-08-argentina-china.pdf</t>
  </si>
  <si>
    <t>AR.002.02</t>
  </si>
  <si>
    <t>Agro-Industrial Purchases, SME Support, Energy Investments</t>
  </si>
  <si>
    <t>AR.003</t>
  </si>
  <si>
    <t>Cóndor Cliff-La Barrancosa hydroelectric project</t>
  </si>
  <si>
    <t>https://web.archive.org/web/20240306203536/https://s3.documentcloud.org/documents/20484849/arg_2014_435.pdf</t>
  </si>
  <si>
    <t>https://web.archive.org/web/20151124023558/http://cn.wsj.com/gb/20140721/bam095250.asp</t>
  </si>
  <si>
    <t>AR.004.01</t>
  </si>
  <si>
    <t>Purchase of cars for metro line A</t>
  </si>
  <si>
    <t>https://www.dropbox.com/sh/mqdfbbgsz3lhwiv/AABWLD-M2K80Os4jDs7QScP2a/US%24161%2C500%2C000%20Buyer%20Credit%20Loan%20Agreement%20with%20Subterraneos%20de%20Buenos%20Aires%202014.pdf?dl=02.</t>
  </si>
  <si>
    <t>http://www.notitrans.com.ar/nota/128543/-subte-la-ciudad-obtuvo-un-prestamo-para-comprar-vagones-para-la-linea-a</t>
  </si>
  <si>
    <t>AR.004.02</t>
  </si>
  <si>
    <t>Belgrano Cargas train line</t>
  </si>
  <si>
    <t>ICBC</t>
  </si>
  <si>
    <t>http://news.ifeng.com/a/20140719/41225944_0.shtml; http://pdf.dfcfw.com/pdf/H2_AN201407210006397174_01.pdf; http://finance.sina.com.cn/world/mzjj/20140719/094319758505.shtml</t>
  </si>
  <si>
    <t>https://web.archive.org/web/20180508061352/https://servicios.infoleg.gob.ar/infolegInternet/anexos/295000-299999/296848/dec987-II.pdf</t>
  </si>
  <si>
    <t>AR.005</t>
  </si>
  <si>
    <t>Cauchari Solar Parks</t>
  </si>
  <si>
    <t>https://web.archive.org/web/20230315161607/http://english.scio.gov.cn/beltandroad/2018-09/03/content_61849761.htm</t>
  </si>
  <si>
    <t>https://web.archive.org/web/20191125192131/https://www.argentina.gob.ar/noticias/argentina-y-china-firmaron-el-primer-contrato-gobierno-gobierno-con-una-tasa-preferencial</t>
  </si>
  <si>
    <t>AR.006</t>
  </si>
  <si>
    <t>SME Support</t>
  </si>
  <si>
    <t>Others</t>
  </si>
  <si>
    <r>
      <rPr>
        <sz val="11"/>
        <color theme="1"/>
        <rFont val="Calibri"/>
        <family val="2"/>
      </rPr>
      <t xml:space="preserve"> </t>
    </r>
    <r>
      <rPr>
        <u/>
        <sz val="11"/>
        <color rgb="FF1155CC"/>
        <rFont val="Calibri"/>
        <family val="2"/>
      </rPr>
      <t>https://web.archive.org/web/20230315160637/www.xinhuanet.com/english/2017-04/17/c_136213360.htm</t>
    </r>
  </si>
  <si>
    <t>https://web.archive.org/web/20170518041946/https://www.infobae.com/economia/2017/05/17/el-bice-cerro-un-acuerdo-en-china-para-financiar-a-pymes-por-usd-150-millones/</t>
  </si>
  <si>
    <t>AR.007</t>
  </si>
  <si>
    <t>San Martin Railway upgrade</t>
  </si>
  <si>
    <t>https://web.archive.org/web/20181201122452/http://www.chinanews.com/cj/2018/11-30/8689718.shtml</t>
  </si>
  <si>
    <t>https://web.archive.org/web/20220709192542/https://www.argentina.gob.ar/sites/default/files/memoria_de_gestion_2015-2019_0.pdf; https://web.archive.org/web/20190521051320/https://www.argentina.gob.ar/noticias/eximbank-china-confirma-su-compromiso-de-cooperacion-para-proyectos-de-inversion-en</t>
  </si>
  <si>
    <t>AR.008</t>
  </si>
  <si>
    <t>Rail cars for Roca Commuter Line</t>
  </si>
  <si>
    <t xml:space="preserve">https://web.archive.org/web/20230313180752/https://www.boletinoficial.gob.ar/detalleAviso/primera/202293/20190225 </t>
  </si>
  <si>
    <t>https://web.archive.org/web/20230313180953/https://www.latinfinance.com/daily-briefs/2019/2/26/china-finances-rolling-stock-in-argentina%29</t>
  </si>
  <si>
    <t>AR.009</t>
  </si>
  <si>
    <t>San Martín railway stock</t>
  </si>
  <si>
    <t>https://web.archive.org/web/20240306202804/https://www.boletinoficial.gob.ar/pdf/aviso/primera/241788/20210312</t>
  </si>
  <si>
    <t>https://drive.google.com/file/d/1--m1FL9MCWJysNUxSzZns7D3s1t9p6jp/view</t>
  </si>
  <si>
    <t>BB.001</t>
  </si>
  <si>
    <t>Sam Lord’s Castle Hotel rehabilitation</t>
  </si>
  <si>
    <t>Barbados</t>
  </si>
  <si>
    <t>BTI [Barbados Tourism Investment]</t>
  </si>
  <si>
    <t>https://web.archive.org/web/20160110154414/http://bb.chineseembassy.org/eng/sgxw/t1317289.htm</t>
  </si>
  <si>
    <t>https://www.dropbox.com/s/nw8ge8mumtsxq9r/2014%20China%20Exim-Barbados%20Loan%20Agreement%20for%20Sam%20Lord%27s%20Hotel%20Project.pdf?dl=0</t>
  </si>
  <si>
    <t>BB.002</t>
  </si>
  <si>
    <t>Scotland District Road Rehabilitation (56 roads, 224km)</t>
  </si>
  <si>
    <t>https://web.archive.org/web/20220626180335/https://www.barbadosparliament.com/uploads/bill_resolution/9428c1bf3f10d56aa212ccd3d2130582.pdf</t>
  </si>
  <si>
    <t>https://web.archive.org/web/20221220170727/https://gisbarbados.gov.bb/blog/road-works-in-shorey-village-close-to-completion/</t>
  </si>
  <si>
    <t>BO.001</t>
  </si>
  <si>
    <t>Purchase of Chinese satellite</t>
  </si>
  <si>
    <t>Bolivia</t>
  </si>
  <si>
    <t>Information and Communication Technology</t>
  </si>
  <si>
    <t xml:space="preserve">https://www.bcb.gob.bo/webdocs/informes_deudaexterna/Informe_Anual_2019_24012020_final.pdf and </t>
  </si>
  <si>
    <t>BO.002</t>
  </si>
  <si>
    <t>Purchase of helicopters, infrastructure</t>
  </si>
  <si>
    <t>https://web.archive.org/web/20200719001352/http://cl2.mofcom.gov.cn/aarticle/chinanews/201112/20111207897388.html</t>
  </si>
  <si>
    <t>BO.003</t>
  </si>
  <si>
    <t>Purchase 2000 Chinese buses</t>
  </si>
  <si>
    <t>https://web.archive.org/web/20240306223545/https://www.la-razon.com/economia/2012/07/24/choferes-pagaran-credito-chino-a-traves-de-un-chip-que-retendra-un-porcentaje-por-el-consumo-de-gnv/</t>
  </si>
  <si>
    <t>https://web.archive.org/web/20240306223828/https://www.noticiasfides.com/economia/choferes-reciben-aval-presidencial-para-obtener-credito-de-us-100-millones-de-china-320298-320285</t>
  </si>
  <si>
    <t>BO.004.01</t>
  </si>
  <si>
    <t>El Espino-Charagua-Boyuibe Highway</t>
  </si>
  <si>
    <t>https://web.archive.org/web/20191203041906/https://www.bcb.gob.bo/webdocs/informes_deudaexterna/Informe%20Anual%202018_14032019.pdf</t>
  </si>
  <si>
    <t>https://web.archive.org/web/20220127145323/https://quepasamedia.com/noticias/mundo/sudamerica/eximbank-de-china-financia-con-un-credito-de-253-millones-carretera/</t>
  </si>
  <si>
    <t>BO.004.02</t>
  </si>
  <si>
    <t>El Sillar Highway</t>
  </si>
  <si>
    <t>http://www.gacetaoficialdebolivia.gob.bo/normas/buscar/3014</t>
  </si>
  <si>
    <t>BO.004.03</t>
  </si>
  <si>
    <t>Rurrenabaque-Riberalta roadway construction</t>
  </si>
  <si>
    <t>https://web.archive.org/web/20191203041906/https://www.bcb.gob.bo/webdocs/informes_deudaexterna/Informe_Anual_2015.pdf</t>
  </si>
  <si>
    <t>BO.005.01</t>
  </si>
  <si>
    <t>El Mutun steel project</t>
  </si>
  <si>
    <t>https://web.archive.org/web/20221124152114/https://www.bcb.gob.bo/webdocs/informes_deudaexterna/IDPE%2021.pdf</t>
  </si>
  <si>
    <t>BO.005.02</t>
  </si>
  <si>
    <t>Rosita hydroelectric power plant</t>
  </si>
  <si>
    <t>https://web.archive.org/web/20171214155444/https://www.ende.bo/noticia/noticia/35</t>
  </si>
  <si>
    <t>https://web.archive.org/web/20171104190609/https://www.lexivox.org/norms/BO-DS-N2646.html</t>
  </si>
  <si>
    <t>BO.005.03</t>
  </si>
  <si>
    <t>Citizen security project</t>
  </si>
  <si>
    <t>Public Administration</t>
  </si>
  <si>
    <t>https://web.archive.org/web/20201019054402/http://www.diputados.bo/leyes/ley-n%C2%B0-895</t>
  </si>
  <si>
    <t>BO.006</t>
  </si>
  <si>
    <t>Purchase of 2 MA-60 Airplanes</t>
  </si>
  <si>
    <t>BO.007</t>
  </si>
  <si>
    <t>Subnational security integration</t>
  </si>
  <si>
    <t xml:space="preserve">https://web.archive.org/web/20191203041906/https://www.bcb.gob.bo/webdocs/informes_deudaexterna/Informe%20Anual%202018_14032019.pdf </t>
  </si>
  <si>
    <t>BO.009</t>
  </si>
  <si>
    <t>Engineering Battalion Machinery Project</t>
  </si>
  <si>
    <t>https://web.archive.org/web/20191203044949/https://www.bcb.gob.bo/webdocs/publicacionesbcb/gestion2010_anexos.pdf</t>
  </si>
  <si>
    <t>BO.010</t>
  </si>
  <si>
    <t>Purchase of drilling equipment</t>
  </si>
  <si>
    <t>BR.000.1</t>
  </si>
  <si>
    <t>GASENE pipeline</t>
  </si>
  <si>
    <t>Brazil</t>
  </si>
  <si>
    <t>BNDES [Banco Nacional de Desenvolvimento Econômico e Social]</t>
  </si>
  <si>
    <t>http://web.archive.org/web/20220306105147/https://www.sec.gov/Archives/edgar/data/1119639/000129281407003654/pbra20071227_6k.htm</t>
  </si>
  <si>
    <r>
      <t>http://investimentos.desenvolvimento.gov.br/public/arquivo/arq1272637600.pdf</t>
    </r>
    <r>
      <rPr>
        <sz val="11"/>
        <color theme="1"/>
        <rFont val="Calibri"/>
        <family val="2"/>
      </rPr>
      <t xml:space="preserve">; </t>
    </r>
    <r>
      <rPr>
        <u/>
        <sz val="11"/>
        <color rgb="FF1155CC"/>
        <rFont val="Calibri"/>
        <family val="2"/>
      </rPr>
      <t>https://www.annualreports.com/HostedData/AnnualReportArchive/c/NYSE_EBR_2007.pdf</t>
    </r>
  </si>
  <si>
    <t>BR.000.2</t>
  </si>
  <si>
    <t>Presidente Médici Candiota Power Station (3rd expansion)</t>
  </si>
  <si>
    <t>https://web.archive.org/web/20240306212101/https://eletrobras.com/en/SobreaEletrobras/Annual%20Report_2007.pdf</t>
  </si>
  <si>
    <t>BR.001</t>
  </si>
  <si>
    <t>Pre-salt oil field development</t>
  </si>
  <si>
    <t>Petrobras [Petróleo Brasileiro S.A.]</t>
  </si>
  <si>
    <t>https://web.archive.org/web/*/https://www.sec.gov/Archives/edgar/data/1119639/000129281410001665/pbraform20f2009.htm</t>
  </si>
  <si>
    <t>https://web.archive.org/web/20120211190218/https://www.sec.gov/Archives/edgar/data/1119639/000129281411001552/pbraform20f2010.htm</t>
  </si>
  <si>
    <t>BR.004</t>
  </si>
  <si>
    <t>Bilateral cooperation agreement</t>
  </si>
  <si>
    <t>https://web.archive.org/web/20230822120642/http://www.petrobras.com.br/fatos-e-dados/assinamos-acordo-de-financiamento-de-us-5-bilhoes-com-banco-de-desenvolvimento-da-china.htm</t>
  </si>
  <si>
    <t>https://web.archive.org/web/*/https://www.sec.gov/Archives/edgar/data/1119639/000129281415001242/pbraform20f_2014.htm</t>
  </si>
  <si>
    <t>BR.005</t>
  </si>
  <si>
    <t>Bilateral cooperation agreenment, additional funds</t>
  </si>
  <si>
    <t>https://web.archive.org/web/20240306201051/https://mz-filemanager.s3.amazonaws.com/25fdf098-34f5-4608-b7fa-17d60b2de47d/comunicados-ao-mercadocentral-de-downloads/3f5bd1188c20730b2ebc6390093709af2475a87fbba2edabdd9414784558a56c/clarification_on_news_conditions_of_the_loan_with_.pdf</t>
  </si>
  <si>
    <t>BR.006</t>
  </si>
  <si>
    <t>Sale of 40 E-195 aircrafts</t>
  </si>
  <si>
    <t>https://web.archive.org/web/20150521021316/http://www.bndes.gov.br/SiteBNDES/bndes/bndes_pt/Institucional/Sala_de_Imprensa/Noticias/2015/Industria/20150519_avioesembraer.html</t>
  </si>
  <si>
    <t>BR.007</t>
  </si>
  <si>
    <t>Soy processing industrial line</t>
  </si>
  <si>
    <t>https://web.archive.org/web/20231115211323/https://www.semadesc.ms.gov.br/apos-anuncio-de-investimento-e-us-12-bilhao-maracaju-prepara-se-para-transformacao/</t>
  </si>
  <si>
    <t>http://www.cdb.com.cn/web/NewsInfo.asp?NewsId=5797</t>
  </si>
  <si>
    <t>BR.008</t>
  </si>
  <si>
    <t>Debt financing</t>
  </si>
  <si>
    <t>https://web.archive.org/web/20221006063450/http://www.petrobras.com.br/fatos-e-dados/assinamos-acordo-de-financiamento-de-us-5-bilhoes-com-banco-de-desenvolvimento-da-china.htm</t>
  </si>
  <si>
    <t>https://web.archive.org/web/20220322181929/https://api.mziq.com/mzfilemanager/v2/d/25fdf098-34f5-4608-b7fa-17d60b2de47d/6fd83f76-d750-6e00-ee69-6241492f2ae9?origin=1</t>
  </si>
  <si>
    <t>BR.009</t>
  </si>
  <si>
    <t>Petrobras Global Trading [Petróleo Brasileiro S.A.]</t>
  </si>
  <si>
    <t>https://web.archive.org/web/20221013181426/https://www.sec.gov/Archives/edgar/data/1119639/000119312519093231/d692671d20f.htm</t>
  </si>
  <si>
    <t>https://web.archive.org/web/20230927200903/https://www.reuters.com/article/petrobras-china-loan/petrobras-receives-900-mln-first-tranche-of-china-eximbank-loan-idINL2N1T12C1</t>
  </si>
  <si>
    <t>BR.010</t>
  </si>
  <si>
    <t>Oil production</t>
  </si>
  <si>
    <t>https://web.archive.org/web/20171207040657/http://www.ecns.cn/business/2017/12-07/283529.shtml</t>
  </si>
  <si>
    <t>https://web.archive.org/web/20170101083547/https://petrobras.com.br/fatos-e-dados/recebemos-us-5-bilhoes-do-china-development-bank.htm</t>
  </si>
  <si>
    <t>BR.011</t>
  </si>
  <si>
    <t>China-Brazil trade financing</t>
  </si>
  <si>
    <t>Banco do Brasil</t>
  </si>
  <si>
    <t>https://web.archive.org/web/20230315144737/http://english.eximbank.gov.cn/News/NewsR/201807/t20180730_6762.html</t>
  </si>
  <si>
    <t>https://web.archive.org/web/20240229233248/https://api.mziq.com/mzfilemanager/v2/d/5760dff3-15e1-4962-9e81-322a0b3d0bbd/09955da0-2b96-56cb-71c5-190ec64b5fb2?origin=1</t>
  </si>
  <si>
    <t>BR.012</t>
  </si>
  <si>
    <t>Line of credit</t>
  </si>
  <si>
    <t>https://web.archive.org/web/20230124233414/https://www.sec.gov/Archives/edgar/data/1119639/000129281421001152/pbraform20f_2020.htm</t>
  </si>
  <si>
    <t>BR.013</t>
  </si>
  <si>
    <t>Banco do Brasil term facility</t>
  </si>
  <si>
    <t>https://web.archive.org/web/20220216190305/https://br.lexlatin.com/noticias/banco-do-brasil-recebe-emprestimo-do-banco-de-desenvolvimento-da-china</t>
  </si>
  <si>
    <t>https://web.archive.org/web/20220127163240/https://www.shearman.com/news-and-events/news/2022/01/banco-do-brasil-raises-500m-in-term-loan-facility-with-china-development-bank</t>
  </si>
  <si>
    <t>BR.014.1</t>
  </si>
  <si>
    <t>Investments in energy, green economy and technology: Long-term facility</t>
  </si>
  <si>
    <t>https://web.archive.org/web/20231026175230/https://www.bndes.gov.br/wps/portal/site/home/imprensa/noticias/conteudo/bndes-e-banco-de-desenvolvimento-chines-assinam-acordo-de-uss-1-3-bilhao%20-para-infraestrutura-e-economia-verde-no-brasil</t>
  </si>
  <si>
    <t>BR.014.2</t>
  </si>
  <si>
    <t>Investments in energy, green economy and technology: Short-term facility</t>
  </si>
  <si>
    <t>https://www.cdb.com.cn/xwzx/mtjj/202308/t20230825_11072.html</t>
  </si>
  <si>
    <t>BS.001</t>
  </si>
  <si>
    <t>Nassau airport gateway project</t>
  </si>
  <si>
    <t>Bahamas</t>
  </si>
  <si>
    <t>http://web.archive.org/web/20220901073948/https://www.mfa.gov.cn/ce/cebs//chn/sbgx/t804245.htm</t>
  </si>
  <si>
    <t>https://web.archive.org/web/20240221223857/http://bf.mofcom.gov.cn/article/todayheader/201312/20131200442873.shtml</t>
  </si>
  <si>
    <t>BS.002</t>
  </si>
  <si>
    <t>Abaco infrastructure works</t>
  </si>
  <si>
    <t>https://web.archive.org/web/20170421213705/https://www.chinadaily.com.cn/world/2017-04/21/content_29033502.htm</t>
  </si>
  <si>
    <t>https://web.archive.org/save/https://www.bahamaslocal.com/newsitem/39422/Bahamas_China_Sign_40M_Loan_Agreement_for_Abaco_Infrastructural_Works.html</t>
  </si>
  <si>
    <t>CR.001</t>
  </si>
  <si>
    <t>Credit line to BNCR for infrastructure, social development</t>
  </si>
  <si>
    <t>Costa Rica</t>
  </si>
  <si>
    <t>BNCR [Banco Nacional de Costa Rica]</t>
  </si>
  <si>
    <t>https://www.dropbox.com/s/cemcy1xv0jstun9/2008%20CDB%20Loan%20Agreement%20with%20Costa%20Rica.pdf?dl=0</t>
  </si>
  <si>
    <t>CR.002.01</t>
  </si>
  <si>
    <t>Highway construction - San José to Limón (USD tranche)</t>
  </si>
  <si>
    <t>https://web.archive.org/web/20210816165712/http://www.pgrweb.go.cr/scij/Busqueda/Normativa/Normas/nrm_texto_completo.aspx?param1=NRTC&amp;param2=1&amp;nValor1=1&amp;nValor2=79369&amp;nValor3=100344&amp;strTipM=TC&amp;lResultado=3&amp;nValor4=1&amp;strSelect=sel</t>
  </si>
  <si>
    <t>https://web.archive.org/web/20150225011517/http://www.ticotimes.net/2015/02/23/lawmakers-approve-chinese-loan-for-expanding-route-32-to-the-caribbean</t>
  </si>
  <si>
    <t>CR.002.02</t>
  </si>
  <si>
    <t>Highway construction - San José to Limón (RMB tranche)</t>
  </si>
  <si>
    <t>CR.003</t>
  </si>
  <si>
    <t>Unspecified</t>
  </si>
  <si>
    <t>https://web.archive.org/web/20231020015357/http://www.mofcom.gov.cn/dl/gbdqzn/upload/gesidalijia.pdf</t>
  </si>
  <si>
    <t xml:space="preserve">https://web.archive.org/web/20240226203800/https://www.bncr.fi.cr/_cache_42a2/content/1609240000215132.pdf </t>
  </si>
  <si>
    <t>CU.001</t>
  </si>
  <si>
    <t>Jesus Rabi Biomass Power Plant (20MW)</t>
  </si>
  <si>
    <t>Cuba</t>
  </si>
  <si>
    <t xml:space="preserve">https://drive.google.com/file/d/1mqKvIXoeh60Gwec5CLpgyfOsaui8BgUE/view?usp=drive_link </t>
  </si>
  <si>
    <t>CU.002</t>
  </si>
  <si>
    <t>Terminal in Santiago de Cuba port</t>
  </si>
  <si>
    <t>https://web.archive.org/web/20180210113032/http://www.xinhuanet.com/english/2017-12/08/c_136810814.htm</t>
  </si>
  <si>
    <t>https://web.archive.org/web/20240306213353/http://www.chinacelacforum.org/esp/zgtlmjlbgjgx_2/202205/t20220531_10696646.htm</t>
  </si>
  <si>
    <t>CU.003</t>
  </si>
  <si>
    <t>La Herradura Wind Farm Project (Phases I and II)</t>
  </si>
  <si>
    <t>https://web.archive.org/web/20160620213437/http://spanish.peopledaily.com.cn/n3/2016/0619/c31617-9074269.html</t>
  </si>
  <si>
    <t>https://web.archive.org/web/20190606032740/https://www.mitrans.gob.cu/es/noticias/diputados-cubanos-analizan-situacion-del-transporte-ferroviario-en-el-pais</t>
  </si>
  <si>
    <t>CU.004</t>
  </si>
  <si>
    <t>Port of Havana floating dock</t>
  </si>
  <si>
    <t>https://web.archive.org/web/20230315142607/http://www.gov.cn/xinwen/2019-11/01/content_5447313.htm</t>
  </si>
  <si>
    <t>https://webcache.googleusercontent.com/search?q=cache:8DnhERzgym8J:https://misiones.cubaminrex.cu/es/articulo/se-inaugura-en-china-construccion-de-dique-flotante-para-los-astilleros-cubanos-0&amp;cd=1&amp;hl=en&amp;ct=clnk&amp;gl=us&amp;client=safari</t>
  </si>
  <si>
    <t>DM.001</t>
  </si>
  <si>
    <t>Building construction and road rehabilitation</t>
  </si>
  <si>
    <t>Dominica</t>
  </si>
  <si>
    <t xml:space="preserve">https://web.archive.org/web/20210529004549/https://www.sakafete.com/parliament-approves-important-legislation/ </t>
  </si>
  <si>
    <t>EC.001</t>
  </si>
  <si>
    <t>Coca-Codo-Sinclair hydroelectric dam</t>
  </si>
  <si>
    <t>Ecuador</t>
  </si>
  <si>
    <t xml:space="preserve">https://web.archive.org/web/20221230140828/https://www.finanzas.gob.ec/wp-content/uploads/downloads/2022/11/Coca-Codo-Amendment-Agreement-to-Buyer-Credit-Loan-Agreement-E_13103807_1.pdf </t>
  </si>
  <si>
    <t>https://web.archive.org/web/20161117190154/http://www.planv.com.ec/investigacion/investigacion/coca-codo-la-joya-la-corona-se-inaugura-con-sobrecostos-y-largos</t>
  </si>
  <si>
    <t>EC.002</t>
  </si>
  <si>
    <t>Phase I facility: 80% discretionary, 20% oil</t>
  </si>
  <si>
    <t>Petroecuador [Empresa Estatal Petróleos del Ecuador]</t>
  </si>
  <si>
    <t xml:space="preserve">https://web.archive.org/web/20221230141449/https://www.finanzas.gob.ec/wp-content/uploads/downloads/2020/08/1.2-Facility-Agreement-CDB-I.pdf </t>
  </si>
  <si>
    <t xml:space="preserve">https://web.archive.org/web/20221230141520/https://www.finanzas.gob.ec/wp-content/uploads/downloads/2020/08/1.1-Four-Party-Agreement-CDB-I.pdf </t>
  </si>
  <si>
    <t>EC.003.01</t>
  </si>
  <si>
    <t>Esmeraldas II Thermal Power Plant</t>
  </si>
  <si>
    <t>https://web.archive.org/web/20220302163732/https://www.finanzas.gob.ec/wp-content/uploads/downloads/2020/08/1.1-Four-Party-Agreement-dated-27-June-2011-CDB-II.pdf</t>
  </si>
  <si>
    <t>https://web.archive.org/web/20240211021622/https://www.celec.gob.ec/images/pdf/pai-2012.pdf</t>
  </si>
  <si>
    <t>EC.003.02</t>
  </si>
  <si>
    <t>Villonaco wind farm</t>
  </si>
  <si>
    <t>https://web.archive.org/web/20220309000758/https://www.finanzas.gob.ec/wp-content/uploads/downloads/2020/08/1.2-Facility-Agreement-dated-27-June-2011-CDB-II.pdf</t>
  </si>
  <si>
    <t>EC.003.03</t>
  </si>
  <si>
    <t>ECU-911 security project (Phase II facility financing)</t>
  </si>
  <si>
    <t xml:space="preserve">https://web.archive.org/web/20240211021118/https://publicadministration.un.org/unpsa/Portals/0/UNPSA_Submitted_Docs/Informe%20de%20Ejecuci%C3%B3n%20del%20Proyecto%20Sistema%20de%20Comando%20y%20Control.pdf?ver=2018-11-30-213315-317 </t>
  </si>
  <si>
    <t>EC.003.05</t>
  </si>
  <si>
    <t>Minas-San Francisco hydroelectric dam (Phase II facility financing)</t>
  </si>
  <si>
    <t xml:space="preserve">https://www.finanzas.gob.ec/wp-content/uploads/downloads/2020/08/1.2-Facility-Agreement-dated-27-June-2011-CDB-II.pdf; </t>
  </si>
  <si>
    <t>https://www.finanzas.gob.ec/wp-content/uploads/downloads/2020/08/1.1-Four-Party-Agreement-dated-27-June-2011-CDB-II.pdf</t>
  </si>
  <si>
    <t>EC.003.06</t>
  </si>
  <si>
    <t>Delsitanisagua hydropower project</t>
  </si>
  <si>
    <t xml:space="preserve">https://web.archive.org/web/20230212234741/https://www.dusselpeters.com/130.pdf </t>
  </si>
  <si>
    <t xml:space="preserve">https://web.archive.org/web/20240211021622/https://www.celec.gob.ec/images/pdf/pai-2012.pdf </t>
  </si>
  <si>
    <t>EC.003.07</t>
  </si>
  <si>
    <t>Quijos hydropower project</t>
  </si>
  <si>
    <t xml:space="preserve">http://web.archive.org/web/20110809095433/http://andes.info.ec/economia/usd-2-000-millones-de-credito-chino-seran-para-financiar-proyectos-hidroelectricos-y-de-riego-72135.html </t>
  </si>
  <si>
    <t>EC.003.08</t>
  </si>
  <si>
    <t>Mazar Dudas dam</t>
  </si>
  <si>
    <t>http://web.archive.org/web/20110809095433/http://andes.info.ec/economia/usd-2-000-millones-de-credito-chino-seran-para-financiar-proyectos-hidroelectricos-y-de-riego-72135.html</t>
  </si>
  <si>
    <t>EC.003.09</t>
  </si>
  <si>
    <t xml:space="preserve">Phase II  Facility: Discretionary </t>
  </si>
  <si>
    <t xml:space="preserve">https://web.archive.org/web/20221230141337/https://www.finanzas.gob.ec/wp-content/uploads/downloads/2020/08/1.2-Facility-Agreement-dated-27-June-2011-CDB-II.pdf </t>
  </si>
  <si>
    <t>EC.004.01</t>
  </si>
  <si>
    <t>ECU-911 security project (Phase III facility financing)</t>
  </si>
  <si>
    <t>EC.004.02</t>
  </si>
  <si>
    <t>Phase III facility: discretionary portion</t>
  </si>
  <si>
    <t>https://web.archive.org/web/20240306214305/https://www.finanzas.gob.ec/wp-content/uploads/downloads/2013/02/DE_DIC_2012.pdf</t>
  </si>
  <si>
    <t>https://www.dropbox.com/s/n3z8t3mgqpzdnv4/TERMINOS-Y-CONDICIONES.pdf?dl=0</t>
  </si>
  <si>
    <t>EC.006</t>
  </si>
  <si>
    <t>Simon Bolivar Highway</t>
  </si>
  <si>
    <t>https://web.archive.org/web/20240306214942/https://www.epmmop.gob.ec/epmmop/images/stories/lotaip/2011/dmdocuments/contrato_prolongacion_simon.pdf</t>
  </si>
  <si>
    <t>https://web.archive.org/web/20130706070351/http://www.finanzas.gob.ec/wp-content/uploads/downloads/2013/02/003-22febrero2013.pdf</t>
  </si>
  <si>
    <t>EC.007</t>
  </si>
  <si>
    <t>Coca-Codo Sinclair transmission system</t>
  </si>
  <si>
    <t xml:space="preserve">https://web.archive.org/web/20220308040423/http://www.finanzas.gob.ec/wp-content/uploads/downloads/2016/09/Cr%C3%A9ditos-internos-y-externos_AGOSTO-2016.pdf
</t>
  </si>
  <si>
    <t>EC.010.01</t>
  </si>
  <si>
    <t>Phase IV Facility: Discretionary</t>
  </si>
  <si>
    <t>https://drive.google.com/file/d/1b_uoNndTFao6uAuX44erBb4HTG1kZgUx/view?usp=drive_link</t>
  </si>
  <si>
    <t>EC.010.02</t>
  </si>
  <si>
    <t>Phase IV Facility: Infrastructure Finance</t>
  </si>
  <si>
    <t>EC.011</t>
  </si>
  <si>
    <t>PROCDB Multisectoral Investment Program</t>
  </si>
  <si>
    <t>https://bde.fin.ec/el-bde-firmara-un-credito-de-financiamiento-con-el-banco-de-desarrollo-de-china/</t>
  </si>
  <si>
    <t>https://web.archive.org/web/20180222062123/https://www.finanzas.gob.ec/wp-content/uploads/downloads/2017/12/DE_NOVIEMBRE-2017.pdf</t>
  </si>
  <si>
    <t>EC.012</t>
  </si>
  <si>
    <t>Airport reconstruction</t>
  </si>
  <si>
    <t xml:space="preserve">https://www.dropbox.com/s/bdxss8mioutueig/2019%20Bond%20Prospectus%20Government%20of%20Ecuador.pdf?dl=0 </t>
  </si>
  <si>
    <t>https://web.archive.org/web/20220302164005/https://www.finanzas.gob.ec/wp-content/uploads/downloads/2020/07/Literal-l-LOTAIP-Contratos-de-crédito-externos-o-internos-2018-2020-MAYO.pdf</t>
  </si>
  <si>
    <t>EC.013.01</t>
  </si>
  <si>
    <t>Phase V Facility: Tranche A</t>
  </si>
  <si>
    <t>EC.013.02</t>
  </si>
  <si>
    <t>Guaranda and Ambato Side Streets</t>
  </si>
  <si>
    <t xml:space="preserve">https://web.archive.org/web/20240211020002/https://www.obraspublicas.gob.ec/en-guaranda-se-inicia-la-construccion-de-su-emblematico-paso-lateral/ </t>
  </si>
  <si>
    <t xml:space="preserve">https://web.archive.org/web/20220302062845/https://www.obraspublicas.gob.ec/wp-content/uploads/downloads/2020/02/LOTAIP_1_PAI-corte-31-de-ENERO-2020.pdf </t>
  </si>
  <si>
    <t>EC.013.03</t>
  </si>
  <si>
    <t>Phase V Facility: Tranche B (Discretionary)</t>
  </si>
  <si>
    <t>https://web.archive.org/web/20221230140859/https://www.finanzas.gob.ec/wp-content/uploads/downloads/2022/11/Amendment-Agreement-No.-2-to-Phase-V-Facility-Agreement-Executed.pdf</t>
  </si>
  <si>
    <t>https://web.archive.org/web/20221225141902/https://www.reuters.com/article/ecuador-debt-china/ecuador-clinches-900-mln-loan-from-china-moreno-idUSL1N1YH0YJ</t>
  </si>
  <si>
    <t>EC.014</t>
  </si>
  <si>
    <t>Yachay City of Knowledge</t>
  </si>
  <si>
    <t>Education</t>
  </si>
  <si>
    <t xml:space="preserve">https://web.archive.org/web/20210425185907/https://www.finanzas.gob.ec/finanzas-suscribe-convenio-de-credito-con-eximbank-de-china-para-yachay/ </t>
  </si>
  <si>
    <t>https://web.archive.org/web/20180224003901/http://www.finanzas.gob.ec/wp-content/uploads/downloads/2016/12/DE_NOVIEMBRE-2016.pdf</t>
  </si>
  <si>
    <t>EC.015</t>
  </si>
  <si>
    <t>Deconcentration of Security Services in Districts and Circuits Project</t>
  </si>
  <si>
    <t xml:space="preserve">https://web.archive.org/save/https://www.finanzas.gob.ec/wp-content/uploads/downloads/2020/07/Literal-l-LOTAIP-Contratos-de-cre%CC%81dito-externos-o-internos-2018-2020-MAYO.pdf </t>
  </si>
  <si>
    <t>https://www.dropbox.com/s/w2xdl229uxgd93c/Cuaderno-Estad%C3%ADstico-Agosto-2022.xls?dl=0</t>
  </si>
  <si>
    <t>EC.016</t>
  </si>
  <si>
    <t>Infrastructure Reconstruction Project Transport Phase II Group A: Golondrinas – Saguangal Highway</t>
  </si>
  <si>
    <t>EC.017</t>
  </si>
  <si>
    <t>Sopladora hydroelectric dam</t>
  </si>
  <si>
    <t xml:space="preserve">https://web.archive.org/web/20231227013340/https://www.finanzas.gob.ec/wp-content/uploads/downloads/2013/02/DE_DIC_2011.pdf </t>
  </si>
  <si>
    <t>https://www.finanzas.gob.ec/https-wwwdeuda-publica-nueva-metodologia/ (Base de Datos Boletín de Deuda Nov 2022)</t>
  </si>
  <si>
    <t>EC.018</t>
  </si>
  <si>
    <t>Minas-San Francisco hydroelectric dam (independent component)</t>
  </si>
  <si>
    <t>https://web.archive.org/web/20220308200856/https://www.finanzas.gob.ec/wp-content/uploads/downloads/2015/06/Contratos-de-crédito_mayo2015.pdf</t>
  </si>
  <si>
    <t>https://web.archive.org/web/20220308040720/https://www.finanzas.gob.ec/wp-content/uploads/downloads/2019/03/literal-l-contrato-de-créditos-internos-y-externos_enero.pdf</t>
  </si>
  <si>
    <t>EC.019</t>
  </si>
  <si>
    <t>Santa Elena Aqueduct Hydraulic Plan Stage 1</t>
  </si>
  <si>
    <t>Water/Sanitation/Waste</t>
  </si>
  <si>
    <t>https://www.dropbox.com/s/npl1draoc4oghzu/2016%20China%20Eximbank%20Loan%20for%20Santa%20Elene%20Aqueduct%20Hydraulic%20Plan%20Stage%20One%20Project.pdf?dl=0</t>
  </si>
  <si>
    <t>https://web.archive.org/web/*/https://www.finanzas.gob.ec/wp-content/uploads/downloads/2016/12/DE_NOVIEMBRE-2016.pdf</t>
  </si>
  <si>
    <t>GD.001</t>
  </si>
  <si>
    <t>Maurice Bishop International Airport upgrade</t>
  </si>
  <si>
    <t>Grenada</t>
  </si>
  <si>
    <t>https://web.archive.org/web/20230315142304/https://www.fmprc.gov.cn/eng/wjb_663304/zwjg_665342/zwbd_665378/202010/t20201030_629541.html</t>
  </si>
  <si>
    <t>https://web.archive.org/web/20210526220528/https://www.nationnews.com/2021/05/26/grenada-receiving-funds-china-airport-development/</t>
  </si>
  <si>
    <t>GY.000</t>
  </si>
  <si>
    <t>Skeldon Sugar Refinery Modernisation Project</t>
  </si>
  <si>
    <t>Guyana</t>
  </si>
  <si>
    <t>https://web.archive.org/web/20240229192757/http://news.sina.com.cn/c/2004-12-14/14024520537s.shtml</t>
  </si>
  <si>
    <t>https://web.archive.org/web/20221124020122/https://finance.gov.gy/wp-content/uploads/2021/05/Public-Debt-Annual-Report-2020-The-Cooperative-Republic-of-Guyana.pdf</t>
  </si>
  <si>
    <t>GY.001</t>
  </si>
  <si>
    <t>Guyana Power and Light (GPL) Transmission and Distribution Project</t>
  </si>
  <si>
    <t>https://web.archive.org/web/20220122014643/https://finance.gov.gy/wp-content/uploads/Public-Debt-Annual-Report-2017-to-be-published-on-line.pdf</t>
  </si>
  <si>
    <t>https://web.archive.org/web/20220811021452/https://parliament.gov.gy/documents/acts/4147-gpl_2012_annual_report.pdf</t>
  </si>
  <si>
    <t>GY.002</t>
  </si>
  <si>
    <t>E- Government Project</t>
  </si>
  <si>
    <t>https://web.archive.org/web/20240306215715/https://parliament.gov.gy/documents/order-papers/615-29th_order_paper.pdf</t>
  </si>
  <si>
    <t>https://web.archive.org/web/20220712222149/https://finance.gov.gy/wp-content/uploads/2021/01/volume_3_2011.pdf</t>
  </si>
  <si>
    <t>GY.003</t>
  </si>
  <si>
    <t>Cheddi Jagan Airport expansion</t>
  </si>
  <si>
    <t>http://web.archive.org/web/20231104233928/https://mopw.gov.gy/posts/us59m-approved-cjia-modernisation-project</t>
  </si>
  <si>
    <t>https://web.archive.org/web/20240311171706/https://jacobsfotos.files.wordpress.com/2013/07/cheddi-jagan-airport-extention-contract-with-the-chinese.pdf</t>
  </si>
  <si>
    <t>GY.004</t>
  </si>
  <si>
    <t>East Coast Road Project, Phase I</t>
  </si>
  <si>
    <t xml:space="preserve">https://web.archive.org/web/20240222025337/https://s3.documentcloud.org/documents/20488285/guy_2016_480.pdf </t>
  </si>
  <si>
    <t>GY.005</t>
  </si>
  <si>
    <t>Guyana National Broadband Project</t>
  </si>
  <si>
    <t>https://web.archive.org/web/20220623045401/https://parliament.gov.gy/documents/hansards/99th_sitting_-_eleventh_parliament.pdf</t>
  </si>
  <si>
    <t>GY.006</t>
  </si>
  <si>
    <t>East Coast Road Project, Phase II</t>
  </si>
  <si>
    <t>https://web.archive.org/web/20221230230051/https://dpi.gov.gy/us192-million-phase-2-east-coast-road-project-to-commence-under-governments-expansive-aggressive-transport-infrastructure-initiative/</t>
  </si>
  <si>
    <t>JM.000.01</t>
  </si>
  <si>
    <t>Greenfield Stadium</t>
  </si>
  <si>
    <t>Jamaica</t>
  </si>
  <si>
    <t>https://www.mfa.gov.cn/eng/wjb_663304/zwjg_665342/zwbd_665378/200511/t20051116_601504.html</t>
  </si>
  <si>
    <t>https://web.archive.org/web/20180103072306/https://jamaica-gleaner.com/article/lead-stories/20180103/taxpayers-carrying-trelawny-stadiums-multimillion-dollar-load#google_vignette</t>
  </si>
  <si>
    <t>JM.000.02</t>
  </si>
  <si>
    <t>Montego Bay Convention Center</t>
  </si>
  <si>
    <t>https://web.archive.org/web/20201201214843/https://jis.gov.jm/jamaica-and-china-mark-35-years-of-diplomatic-relations/</t>
  </si>
  <si>
    <t>https://web.archive.org/web/20240306222237/https://dominicanewsonline.com/news/homepage/news/business/jamaican-ministry-endorses-china-caribbean-economic-and-trade-co-operation-forum/</t>
  </si>
  <si>
    <t>JM.001</t>
  </si>
  <si>
    <t>On-lending through Development Bank of Jamaica</t>
  </si>
  <si>
    <t xml:space="preserve">http://web.archive.org/web/20150425120416/http://jis.gov.jm/china-extends-over-10-billion-in-aid-to-jamaica/ </t>
  </si>
  <si>
    <t>JM.002</t>
  </si>
  <si>
    <t>Short-term trade financing</t>
  </si>
  <si>
    <t>JM.003.01</t>
  </si>
  <si>
    <t>Shoreline reconstruction</t>
  </si>
  <si>
    <t>https://www.nwa.gov.jm/major-project/palisadoes-peninsula-shoreline-protection-and-rehabilitation</t>
  </si>
  <si>
    <t>JM.003.02</t>
  </si>
  <si>
    <t>Jamaica Development Infrastructure Programme</t>
  </si>
  <si>
    <t xml:space="preserve">http://web.archive.org/web/20221223143004/https://auditorgeneral.gov.jm/wp-content/uploads/2016/09/JDIP_Special_Audit_Report.pdf </t>
  </si>
  <si>
    <t>JM.004</t>
  </si>
  <si>
    <t>Jamaica Economic Housing Project</t>
  </si>
  <si>
    <t>Social Protection</t>
  </si>
  <si>
    <t>http://web.archive.org/web/20201128195008/https://jis.gov.jm/china-communications-construction-company-gets-green-light/</t>
  </si>
  <si>
    <t>JM.005.02</t>
  </si>
  <si>
    <t>Major Infrastructure Development Programme</t>
  </si>
  <si>
    <t>https://web.archive.org/web/20150928060546/https://www.nwa.gov.jm/major-infrastructure-development-programme</t>
  </si>
  <si>
    <t>JM.006</t>
  </si>
  <si>
    <t>Road network</t>
  </si>
  <si>
    <t>https://web.archive.org/web/20160619042156/http://news.xinhuanet.com/english/2016-06/17/c_135445559.htm</t>
  </si>
  <si>
    <t>https://web.archive.org/web/20170217002322/https://jamaica-gleaner.com/article/business/20170216/shaw-signs-us326m-loan-agreement-southern-highway-extension-toll-road</t>
  </si>
  <si>
    <t>JM.007</t>
  </si>
  <si>
    <t>Southern Coastal Highway Improvement Project</t>
  </si>
  <si>
    <t>https://web.archive.org/web/20200222104819/http://en.people.cn/n3/2017/0223/c90000-9181728.html</t>
  </si>
  <si>
    <t>https://web.archive.org/web/20230208123724/https://opm.gov.jm/news/prime-minister-andrew-holness-urges-patience-as-intensive-work-on-the-st-thomas-leg-of-the-southern-coastal-highway-improvement-project-continues/</t>
  </si>
  <si>
    <t>MX.001</t>
  </si>
  <si>
    <t>Offshore drilling equipment</t>
  </si>
  <si>
    <t>Mexico</t>
  </si>
  <si>
    <t>Pemex [Petróleos Mexicanos]</t>
  </si>
  <si>
    <t>https://web.archive.org/web/20130611075251/http://www.rigzone.com/news/oil_gas/a/126927/Pemex_China_Make_Landmark_Deal</t>
  </si>
  <si>
    <t>https://web.archive.org/web/20231128131320/https://latinfinance.com/daily-brief/2013/06/06/china-loan-for-pemex/</t>
  </si>
  <si>
    <t>PE.001</t>
  </si>
  <si>
    <t>Transportation, infrastructure, environment, energy</t>
  </si>
  <si>
    <t>Peru</t>
  </si>
  <si>
    <t>Cofide [Corporacion Financiera de Desarrollo S.A.]</t>
  </si>
  <si>
    <t>https://web.archive.org/web/20240306195551/https://andina.pe/agencia/noticia-cofide-and-china-development-bank-signed-loan-agreement-for-up-to-50-million-261722.aspx</t>
  </si>
  <si>
    <t>https://web.archive.org/web/20240306223215/https://www.bnamericas.com/en/news/CDB_will_lend_Cofide_up_to_US%2A50mn</t>
  </si>
  <si>
    <t>SR.001.01</t>
  </si>
  <si>
    <t>Dalian III Road Rehabilitation Project</t>
  </si>
  <si>
    <t>Suriname</t>
  </si>
  <si>
    <t>https://drive.google.com/file/d/1jzP0IBer7aO2gFatFpDynMcX2x_Zd9a8/view?usp=drive_link</t>
  </si>
  <si>
    <t>SR.001.02</t>
  </si>
  <si>
    <t>Rehabilitation of 500km of roads</t>
  </si>
  <si>
    <t>SR.002</t>
  </si>
  <si>
    <t>Housing project</t>
  </si>
  <si>
    <t>https://web.archive.org/web/20150712202135/https://www.chinadaily.com.cn/business/2015-03/31/content_19958462.htm</t>
  </si>
  <si>
    <t>https://web.archive.org/web/20181105012400/http://www.sdmo.org/images/Leningen/Leenovereenkomsten_Buitenland_2012.pdf</t>
  </si>
  <si>
    <t>SR.003.01</t>
  </si>
  <si>
    <t>Infratructure projects</t>
  </si>
  <si>
    <t>http://web.archive.org/web/20200926024224/https://www.sdmo.org/images/Leningen/Leenovereenkomsten_Buitenland_2016.pdf</t>
  </si>
  <si>
    <t>https://web.archive.org/web/20240307000224/http://www.dna.sr/media/145186/_JAARREDE_van_de_PRESIDENT_over_het_dienstjaar_2017.pdf</t>
  </si>
  <si>
    <t>SR.003.02</t>
  </si>
  <si>
    <t>National broadband network</t>
  </si>
  <si>
    <t>SR.004</t>
  </si>
  <si>
    <t>J.A. Pengel International Airport Expansion</t>
  </si>
  <si>
    <t>https://web.archive.org/web/20191213205253/http://www.xinhuanet.com/money/2019-11/29/c_1210375140.htm</t>
  </si>
  <si>
    <t>https://web.archive.org/web/20200926024358/https://www.sdmo.org/images/Leningen/foreign_loan_agreements_2019.pdf</t>
  </si>
  <si>
    <t>TT.001</t>
  </si>
  <si>
    <t>National Academies for Performing Arts renovation</t>
  </si>
  <si>
    <t>Trinidad and Tobago</t>
  </si>
  <si>
    <t>https://www.dropbox.com/s/sptor0fju165k3j/392125621-GovernmentConcessional-Loan-PreferentialBuyer-sCredit-Brochure-pdf.pdf?dl=0</t>
  </si>
  <si>
    <t>https://web.archive.org/web/20220619200446/https://www.auditorgeneral.gov.tt/sites/default/files/Vol%20%201%20-%20Treasury%20Statements%202011.pdf</t>
  </si>
  <si>
    <t>TT.002.01</t>
  </si>
  <si>
    <t>Construction of Couva Children's Hospital</t>
  </si>
  <si>
    <t>http://web.archive.org/web/20231104222810/https://www.central-bank.org.tt/sites/default/files/latest-news/Updated%20Sept%2010%202013%20-%20EB%20July%202013.pdf</t>
  </si>
  <si>
    <t>https://drive.google.com/file/d/13Uv2q9RHYLA3yJNoInI-IBPon0fVbH-e/view?usp=drive_link</t>
  </si>
  <si>
    <t>TT.002.02</t>
  </si>
  <si>
    <t>National Sporting Facilities Project</t>
  </si>
  <si>
    <t>http://web.archive.org/web/20130319235005/http://www.newsday.co.tt/news/0,174909.html</t>
  </si>
  <si>
    <t>TT.003</t>
  </si>
  <si>
    <t>Pheonix Park Industrial Estate</t>
  </si>
  <si>
    <t>https://web.archive.org/web/20220619192730/https://auditorgeneral.gov.tt/sites/default/files/VOL-I-Accounts-of-the-Treasury.pdf</t>
  </si>
  <si>
    <t>https://web.archive.org/web/20221230235344/https://www.finance.gov.tt/wp-content/uploads/2022/09/Budget-Statement-2023-E-Version.pdf</t>
  </si>
  <si>
    <t>TT.004</t>
  </si>
  <si>
    <t>Purchase of vaccines and medical equipment</t>
  </si>
  <si>
    <t>https://web.archive.org/web/20210915195312/https://finance.gov.gy/wp-content/uploads/2021/05/Public-Debt-Annual-Report-2020-The-Cooperative-Republic-of-Guyana.pdf</t>
  </si>
  <si>
    <t>https://web.archive.org/web/20210511172306/https://newsday.co.tt/2021/05/11/trinidad-and-tobago-to-take-chinese-loan-to-buy-chinese-vaccines/</t>
  </si>
  <si>
    <t>VE.000</t>
  </si>
  <si>
    <t>Joint Fund - Tranche A</t>
  </si>
  <si>
    <t>Venezuela</t>
  </si>
  <si>
    <t>BANDES and PDVSA [Banco de Desarrollo Económico y Social de Venezuela and Petróleos de Venezuela]</t>
  </si>
  <si>
    <t xml:space="preserve">http://web.archive.org/web/20230928200232/http://policy.mofcom.gov.cn/pact/pactContent.shtml?id=2373 </t>
  </si>
  <si>
    <t>https://web.archive.org/web/20230823155843/http://www.sec.gov/Archives/edgar/data/103198/000119312512411807/d418533dex99d.htm</t>
  </si>
  <si>
    <t>VE.001</t>
  </si>
  <si>
    <t>Joint Fund - Tranche B</t>
  </si>
  <si>
    <t>http://www.ministeriopublico.gob.ve/c/document_library/get_file?p_l_id=40497&amp;folderId=67170&amp;name=DLFE-2069.pdf</t>
  </si>
  <si>
    <t>VE.002</t>
  </si>
  <si>
    <t>Mining credit (on-lending to CVG [Corporación Venezolana de Guayana])</t>
  </si>
  <si>
    <t>BANDES [Banco de Desarrollo Económico y Social de Venezuela]</t>
  </si>
  <si>
    <t>Non-Energy Mining</t>
  </si>
  <si>
    <t>https://web.archive.org/web/20211001192959/https://armando.info/en/a-dream-deal-with-china-that-ended-in-nightmarish-debt-for-venezuela/</t>
  </si>
  <si>
    <t>https://web.archive.org/web/20091215142552/https://www.chinadaily.com.cn/cndy/2009-11/17/content_8982769.htm</t>
  </si>
  <si>
    <t>VE.003</t>
  </si>
  <si>
    <t>Not specified</t>
  </si>
  <si>
    <t>http://web.archive.org/web/20210712081545/https://www.sec.gov/Archives/edgar/data/103198/000119312515333744/d83375dex99d.htm</t>
  </si>
  <si>
    <t>VE.004</t>
  </si>
  <si>
    <t>Trade-related credit facility</t>
  </si>
  <si>
    <t>PDVSA [Petróleos de Venezuela]</t>
  </si>
  <si>
    <t>https://www.investgohn.com/ueditor/jsp/upload/file/20180426/1524714075509011869.pdf</t>
  </si>
  <si>
    <t>VE.005.01</t>
  </si>
  <si>
    <t>'Gran Volumen' Long-Term Facility (USD tranche)</t>
  </si>
  <si>
    <t>VE.005.02</t>
  </si>
  <si>
    <t>'Gran Volumen' Long-Term Facility (RMB tranche)</t>
  </si>
  <si>
    <t>VE.006</t>
  </si>
  <si>
    <t>Joint Fund - Tranche A renewal first rollover</t>
  </si>
  <si>
    <t>VE.007</t>
  </si>
  <si>
    <t>Joint Fund - Tranche B renewal first rollover</t>
  </si>
  <si>
    <t>VE.008</t>
  </si>
  <si>
    <t>Purchase of oil-related products</t>
  </si>
  <si>
    <t>VE.009</t>
  </si>
  <si>
    <t>Sinovensa production in Orinoco</t>
  </si>
  <si>
    <t xml:space="preserve">http://web.archive.org/web/20230823155758/http://www.pdvsa.com/images/pdf/balancededeuda2016.pdf </t>
  </si>
  <si>
    <t>https://web.archive.org/web/20150709122315/https://www.bloomberg.com/news/articles/2013-06-03/pdvsa-signs-4-billion-china-loan-to-boost-orinoco-field-output</t>
  </si>
  <si>
    <t>VE.010</t>
  </si>
  <si>
    <t>Pequiven marine terminal</t>
  </si>
  <si>
    <t>https://web.archive.org/web/20170801082803/https://www.mundomaritimo.cl/noticias/venezuela-suscribio-acuerdo-con-china-para-construccion-de-terminal-maritimo-de-pequiven</t>
  </si>
  <si>
    <t>https://web.archive.org/web/20240307003509/https://www.asiaone.com/china-signs-12-deals-venezuela</t>
  </si>
  <si>
    <t>VE.011.01</t>
  </si>
  <si>
    <t>Joint Fund - Tranche C</t>
  </si>
  <si>
    <t>VE.011.02</t>
  </si>
  <si>
    <t>Las Cristinas gold mine</t>
  </si>
  <si>
    <t>https://web.archive.org/web/20190818222518/https://www.sec.gov/Archives/edgar/data/906424/000119312516712239/d171369dex99t3e.htm</t>
  </si>
  <si>
    <t>https://web.archive.org/web/20240306200224/http://www.bnamericas.com/en/news/mining/china-development-bank-to-cooperate-in-mining-las-cristinas-development</t>
  </si>
  <si>
    <t>VE.012</t>
  </si>
  <si>
    <t>Joint Fund - Tranche A renewal second rollover</t>
  </si>
  <si>
    <t>https://web.archive.org/web/20210712081545/https://www.sec.gov/Archives/edgar/data/103198/000119312515333744/d83375dex99d.htm</t>
  </si>
  <si>
    <t>https://web.archive.org/web/20140725140236/http://finance.sina.com.cn/world/20140722/164019785266.shtml</t>
  </si>
  <si>
    <t>VE.013</t>
  </si>
  <si>
    <t>Working capital, PDVSA</t>
  </si>
  <si>
    <t>https://web.archive.org/web/20170620190313/ttp://www.pdvsa.com/images/pdf/balancededeuda2016.pdf</t>
  </si>
  <si>
    <t>Margaret Myers fieldwork</t>
  </si>
  <si>
    <t>VE.014</t>
  </si>
  <si>
    <t>Joint Fund - Tranche B renewal second rollover</t>
  </si>
  <si>
    <t>https://web.archive.org/web/20171228192851/https://www.sec.gov/Archives/edgar/data/103198/000119312517376486/d505622dex99d.htm</t>
  </si>
  <si>
    <t>https://web.archive.org/web/20150321033748/http://www.reuters.com/article/2015/03/19/us-venezuela-china-idUSKBN0MF2AD20150319</t>
  </si>
  <si>
    <t>(All)</t>
  </si>
  <si>
    <t>Row Labels</t>
  </si>
  <si>
    <t>Sum of Loan (USD M)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</si>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</sst>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u/>
      <sz val="11"/>
      <color rgb="FF1155CC"/>
      <name val="Calibri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3" tint="0.89999084444715716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quotePrefix="1" applyFont="1"/>
    <xf numFmtId="0" fontId="6" fillId="0" borderId="0" xfId="0" applyFont="1"/>
    <xf numFmtId="164" fontId="6" fillId="0" borderId="0" xfId="2" applyNumberFormat="1" applyFont="1" applyFill="1"/>
    <xf numFmtId="0" fontId="7" fillId="0" borderId="0" xfId="0" applyFont="1"/>
    <xf numFmtId="0" fontId="2" fillId="0" borderId="0" xfId="0" applyFont="1"/>
    <xf numFmtId="43" fontId="1" fillId="0" borderId="0" xfId="2" applyFont="1"/>
    <xf numFmtId="0" fontId="8" fillId="0" borderId="0" xfId="0" applyFont="1"/>
    <xf numFmtId="164" fontId="8" fillId="0" borderId="0" xfId="2" applyNumberFormat="1" applyFont="1" applyFill="1"/>
    <xf numFmtId="0" fontId="9" fillId="0" borderId="0" xfId="0" applyFont="1"/>
    <xf numFmtId="0" fontId="10" fillId="0" borderId="0" xfId="1" applyFont="1" applyAlignment="1"/>
    <xf numFmtId="0" fontId="10" fillId="0" borderId="0" xfId="1" applyFont="1"/>
    <xf numFmtId="0" fontId="10" fillId="0" borderId="0" xfId="1" applyFont="1" applyFill="1" applyAlignment="1"/>
    <xf numFmtId="0" fontId="10" fillId="0" borderId="0" xfId="1" applyFont="1" applyFill="1" applyBorder="1" applyAlignment="1"/>
    <xf numFmtId="164" fontId="9" fillId="0" borderId="0" xfId="2" applyNumberFormat="1" applyFont="1"/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/>
    <xf numFmtId="2" fontId="1" fillId="2" borderId="0" xfId="0" applyNumberFormat="1" applyFont="1" applyFill="1"/>
  </cellXfs>
  <cellStyles count="3">
    <cellStyle name="Comma" xfId="2" builtinId="3"/>
    <cellStyle name="Hyperlink" xfId="1" builtinId="8"/>
    <cellStyle name="Normal" xfId="0" builtinId="0"/>
  </cellStyles>
  <dxfs count="24">
    <dxf>
      <numFmt numFmtId="2" formatCode="0.00"/>
    </dxf>
    <dxf>
      <border>
        <bottom style="thin">
          <color theme="3" tint="0.89999084444715716"/>
        </bottom>
      </border>
    </dxf>
    <dxf>
      <border>
        <bottom style="thin">
          <color theme="3" tint="0.89999084444715716"/>
        </bottom>
      </border>
    </dxf>
    <dxf>
      <border>
        <bottom style="thin">
          <color theme="3" tint="0.89999084444715716"/>
        </bottom>
      </border>
    </dxf>
    <dxf>
      <border>
        <bottom style="thin">
          <color theme="3" tint="0.89999084444715716"/>
        </bottom>
      </border>
    </dxf>
    <dxf>
      <border>
        <bottom style="thin">
          <color theme="3" tint="0.89999084444715716"/>
        </bottom>
      </border>
    </dxf>
    <dxf>
      <border>
        <bottom style="thin">
          <color theme="3" tint="0.89999084444715716"/>
        </bottom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numFmt numFmtId="2" formatCode="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782002</xdr:colOff>
      <xdr:row>0</xdr:row>
      <xdr:rowOff>178620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1B9BC-2982-49A6-B0A1-854928ABAD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61" b="-1"/>
        <a:stretch/>
      </xdr:blipFill>
      <xdr:spPr>
        <a:xfrm>
          <a:off x="0" y="0"/>
          <a:ext cx="1620202" cy="17862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0</xdr:row>
      <xdr:rowOff>28575</xdr:rowOff>
    </xdr:from>
    <xdr:to>
      <xdr:col>2</xdr:col>
      <xdr:colOff>790576</xdr:colOff>
      <xdr:row>0</xdr:row>
      <xdr:rowOff>190021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D87F97-4D68-441E-A810-16BB60B5C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6" y="28575"/>
          <a:ext cx="762000" cy="16144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es, Oyintarelado" refreshedDate="45401.725478472224" createdVersion="8" refreshedVersion="8" minRefreshableVersion="3" recordCount="133" xr:uid="{BC7398F8-38AC-404E-950F-F7F56016E49A}">
  <cacheSource type="worksheet">
    <worksheetSource ref="A2:K135" sheet="CLLAC_2024"/>
  </cacheSource>
  <cacheFields count="12">
    <cacheField name="BU ID" numFmtId="0">
      <sharedItems/>
    </cacheField>
    <cacheField name="Year" numFmtId="0">
      <sharedItems containsSemiMixedTypes="0" containsString="0" containsNumber="1" containsInteger="1" minValue="2005" maxValue="2023" count="17">
        <n v="2008"/>
        <n v="2011"/>
        <n v="2016"/>
        <n v="2013"/>
        <n v="2007"/>
        <n v="2010"/>
        <n v="2012"/>
        <n v="2014"/>
        <n v="2017"/>
        <n v="2019"/>
        <n v="2015"/>
        <n v="2022"/>
        <n v="2009"/>
        <n v="2023"/>
        <n v="2018"/>
        <n v="2005"/>
        <n v="2021"/>
      </sharedItems>
    </cacheField>
    <cacheField name="Project Name" numFmtId="0">
      <sharedItems/>
    </cacheField>
    <cacheField name="Loan (USD M)" numFmtId="43">
      <sharedItems containsSemiMixedTypes="0" containsString="0" containsNumber="1" minValue="10" maxValue="10000"/>
    </cacheField>
    <cacheField name="Country" numFmtId="0">
      <sharedItems count="18">
        <s v="Antigua and Barbuda"/>
        <s v="Argentina"/>
        <s v="Barbados"/>
        <s v="Bolivia"/>
        <s v="Brazil"/>
        <s v="Bahamas"/>
        <s v="Costa Rica"/>
        <s v="Cuba"/>
        <s v="Dominica"/>
        <s v="Ecuador"/>
        <s v="Grenada"/>
        <s v="Guyana"/>
        <s v="Jamaica"/>
        <s v="Mexico"/>
        <s v="Peru"/>
        <s v="Suriname"/>
        <s v="Trinidad and Tobago"/>
        <s v="Venezuela"/>
      </sharedItems>
    </cacheField>
    <cacheField name="Borrower" numFmtId="0">
      <sharedItems/>
    </cacheField>
    <cacheField name="Lender" numFmtId="0">
      <sharedItems count="2">
        <s v="CHEXIM"/>
        <s v="CDB"/>
      </sharedItems>
    </cacheField>
    <cacheField name="Other Lender" numFmtId="0">
      <sharedItems containsBlank="1"/>
    </cacheField>
    <cacheField name="Sector" numFmtId="0">
      <sharedItems count="11">
        <s v="Energy"/>
        <s v="Transportation"/>
        <s v="Industry and Trade/Services"/>
        <s v="Financial Sector"/>
        <s v="Other"/>
        <s v="Information and Communication Technology"/>
        <s v="Public Administration"/>
        <s v="Education"/>
        <s v="Water/Sanitation/Waste"/>
        <s v="Social Protection"/>
        <s v="Non-Energy Mining"/>
      </sharedItems>
    </cacheField>
    <cacheField name="Source 1" numFmtId="0">
      <sharedItems longText="1"/>
    </cacheField>
    <cacheField name="Source 2" numFmtId="0">
      <sharedItems containsBlank="1" longText="1"/>
    </cacheField>
    <cacheField name="Additional Source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AG.001"/>
    <x v="0"/>
    <s v="Wadadli Power Plant Construction (30MW)"/>
    <n v="43.7"/>
    <x v="0"/>
    <s v="National government"/>
    <x v="0"/>
    <m/>
    <x v="0"/>
    <s v="https://web.archive.org/web/20230308135008/https://ab.gov.ag/services/energy/pdf/IRENA_RRA_Antigua_and_Barbuda_2016.pdf, https://web.archive.org/web/20220614021456/https://audit.gov.ag/assets/uploads/docs/reports_publications/509a8-final-debt-audit-report-2014.pdf, https://ab.gov.ag/pdf/budget/2018_Antigua_Estimates.pdf"/>
    <s v="https://www.dropbox.com/s/wwq6tcidfnebtv3/China%20Eximbank%20Loan%20Agreement%20for%20Antigua%20New%20Power%20Plant.pdf?dl=0"/>
    <m/>
  </r>
  <r>
    <s v="AG.002"/>
    <x v="1"/>
    <s v="V.C. Bird International Airport terminal, Phase 1"/>
    <n v="32.51"/>
    <x v="0"/>
    <s v="National government"/>
    <x v="0"/>
    <m/>
    <x v="1"/>
    <s v="https://web.archive.org/web/20211123070258/http://www.mofcom.gov.cn/article/beltandroad/ag/enindex.shtml"/>
    <s v="https://web.archive.org/web/20201127204710/https://audit.gov.ag/assets/uploads/docs/reports_publications/509a8-final-debt-audit-report-2014.pdf"/>
    <s v="https://www.dropbox.com/s/sptor0fju165k3j/392125621-GovernmentConcessional-Loan-PreferentialBuyer-sCredit-Brochure-pdf.pdf?dl=0"/>
  </r>
  <r>
    <s v="AG.003"/>
    <x v="2"/>
    <s v="St. John port"/>
    <n v="97"/>
    <x v="0"/>
    <s v="National government"/>
    <x v="0"/>
    <m/>
    <x v="1"/>
    <s v="https://web.archive.org/web/20160127153129/https://ab.gov.ag/pdf/budget_speech_2016.pdf"/>
    <s v="http://www.eximbank.gov.cn/aboutExim/annals/2021_877/202306/U020230609413828602225.pdf"/>
    <s v="https://web.archive.org/web/20201113191758/https://ab.gov.ag/pdf/budget/2020_Antigua_Estimates.pdf"/>
  </r>
  <r>
    <s v="AG.004"/>
    <x v="3"/>
    <s v="V.C. Bird International Airport terminal, Phase 2"/>
    <n v="45.16"/>
    <x v="0"/>
    <s v="National government"/>
    <x v="0"/>
    <m/>
    <x v="1"/>
    <s v="https://web.archive.org/web/20181113153629/https://ab.gov.ag/pdf/budget/2017_Antigua_Estimates.pdf"/>
    <s v="https://web.archive.org/web/20230124213208/https://ab.gov.ag/pdf/budget/2022_Antigua_Estimates.pdf"/>
    <m/>
  </r>
  <r>
    <s v="AR.000"/>
    <x v="4"/>
    <s v="Export sector development"/>
    <n v="30"/>
    <x v="1"/>
    <s v="BICE [Banco de Inversion y Comercio Exterior]"/>
    <x v="1"/>
    <m/>
    <x v="2"/>
    <s v="https://web.archive.org/web/20231117144657/https://www.argentina.gob.ar/sites/default/files/c_2023-05-08-argentina-china.pdf; "/>
    <s v="https://www.dropbox.com/s/zk2e9olpeu4iip6/estado_contable-2.pdf?dl=0"/>
    <s v="https://drive.google.com/file/d/1TksYQ1EdXxEMs2oRPm2GVJitU7LtsBgM/view?usp=drive_link"/>
  </r>
  <r>
    <s v="AR.001.01"/>
    <x v="5"/>
    <s v="Export sector development"/>
    <n v="30"/>
    <x v="1"/>
    <s v="BICE [Banco de Inversion y Comercio Exterior]"/>
    <x v="1"/>
    <m/>
    <x v="3"/>
    <s v="https://web.archive.org/web/20231117144657/https://www.argentina.gob.ar/sites/default/files/c_2023-05-08-argentina-china.pdf "/>
    <s v="https://web.archive.org/web/20240306202404/http://www.infobae.com/2010/12/02/550087-el-banco-inversion-y-comercio-exterior-busca-consolidar-relacion-china"/>
    <s v="https://drive.google.com/file/d/1TksYQ1EdXxEMs2oRPm2GVJitU7LtsBgM/view?usp=drive_link; https://www.dropbox.com/s/zk2e9olpeu4iip6/estado_contable-2.pdf?dl=0"/>
  </r>
  <r>
    <s v="AR.001.02"/>
    <x v="5"/>
    <s v="High-speed trains"/>
    <n v="273"/>
    <x v="1"/>
    <s v="National government"/>
    <x v="1"/>
    <s v="CITIC"/>
    <x v="1"/>
    <s v="https://web.archive.org/web/20181116152325/http://servicios.infoleg.gob.ar/infolegInternet/anexos/175000-179999/178361/norma.htm"/>
    <s v="https://web.archive.org/web/20230000000000*/https://farn.org.ar/wp-content/uploads/2022/01/DOC_DEUDA_CHINA_V2.pdf"/>
    <s v="http://www.bloomberg.com/news/articles/2010-07-14/china-banks-agree-to-give-273-million-loan-to-argentina-to-buy-cnr-trains, , http://agoracom.com/ir/Crystallex/forums/discussion/topics/430457-china-inks-us-12-billion-argentine-rail-projects-deal/messages/1409135; http://online.wsj.com/article/SB10001424052748704518904575364523811330964.html; "/>
  </r>
  <r>
    <s v="AR.002.01"/>
    <x v="6"/>
    <s v="Renewable energy and industrial infrastructure projects"/>
    <n v="200"/>
    <x v="1"/>
    <s v="BICE [Banco de Inversion y Comercio Exterior]"/>
    <x v="1"/>
    <m/>
    <x v="4"/>
    <s v="https://web.archive.org/web/20240306203121/https://www.gov.cn/jrzg/2012-03/15/content_2092419.htm"/>
    <s v="https://web.archive.org/web/20231117144657/https://www.argentina.gob.ar/sites/default/files/c_2023-05-08-argentina-china.pdf"/>
    <m/>
  </r>
  <r>
    <s v="AR.002.02"/>
    <x v="6"/>
    <s v="Agro-Industrial Purchases, SME Support, Energy Investments"/>
    <n v="80"/>
    <x v="1"/>
    <s v="BICE [Banco de Inversion y Comercio Exterior]"/>
    <x v="1"/>
    <m/>
    <x v="2"/>
    <s v="https://www.dropbox.com/s/zk2e9olpeu4iip6/estado_contable-2.pdf?dl=0"/>
    <m/>
    <m/>
  </r>
  <r>
    <s v="AR.003"/>
    <x v="7"/>
    <s v="Cóndor Cliff-La Barrancosa hydroelectric project"/>
    <n v="2498.6055000000001"/>
    <x v="1"/>
    <s v="National government"/>
    <x v="1"/>
    <m/>
    <x v="0"/>
    <s v="https://web.archive.org/web/20240306203536/https://s3.documentcloud.org/documents/20484849/arg_2014_435.pdf"/>
    <s v="https://web.archive.org/web/20151124023558/http://cn.wsj.com/gb/20140721/bam095250.asp"/>
    <s v="http://www.scmp.com/comment/article/1556979/south-america-xi-eases-way-bilateral-trade;  https://drive.google.com/drive/folders/1NAfoaPHzh8wOQBWutqvdvO0YdV3iiRVY; "/>
  </r>
  <r>
    <s v="AR.004.01"/>
    <x v="7"/>
    <s v="Purchase of cars for metro line A"/>
    <n v="161.5"/>
    <x v="1"/>
    <s v="National government"/>
    <x v="0"/>
    <m/>
    <x v="1"/>
    <s v="https://www.dropbox.com/sh/mqdfbbgsz3lhwiv/AABWLD-M2K80Os4jDs7QScP2a/US%24161%2C500%2C000%20Buyer%20Credit%20Loan%20Agreement%20with%20Subterraneos%20de%20Buenos%20Aires%202014.pdf?dl=02."/>
    <s v="http://www.notitrans.com.ar/nota/128543/-subte-la-ciudad-obtuvo-un-prestamo-para-comprar-vagones-para-la-linea-a"/>
    <m/>
  </r>
  <r>
    <s v="AR.004.02"/>
    <x v="7"/>
    <s v="Belgrano Cargas train line"/>
    <n v="1899.9658340000001"/>
    <x v="1"/>
    <s v="National government"/>
    <x v="1"/>
    <s v="ICBC"/>
    <x v="1"/>
    <s v="http://news.ifeng.com/a/20140719/41225944_0.shtml; http://pdf.dfcfw.com/pdf/H2_AN201407210006397174_01.pdf; http://finance.sina.com.cn/world/mzjj/20140719/094319758505.shtml"/>
    <s v="https://web.archive.org/web/20180508061352/https://servicios.infoleg.gob.ar/infolegInternet/anexos/295000-299999/296848/dec987-II.pdf"/>
    <s v="http://uk.reuters.com/article/2014/07/18/argentina-china-idUKL2N0PT0IK20140718; https://web.archive.org/web/20150421033324/http://www.laht.com/article.asp?ArticleId=2344453&amp;CategoryId=14093; https://www.dropbox.com/s/qzg7l2gfhv1ul32/%242.09%20billion%20credit%20facility%20in%202014%20from%20CDB%20and%20ICBC%20for%20Belgrano%20Cargas%20railway%20line.pdf?dl=0"/>
  </r>
  <r>
    <s v="AR.005"/>
    <x v="8"/>
    <s v="Cauchari Solar Parks"/>
    <n v="331.5"/>
    <x v="1"/>
    <s v="National government"/>
    <x v="0"/>
    <s v="CITIC"/>
    <x v="0"/>
    <s v="https://web.archive.org/web/20230315161607/http://english.scio.gov.cn/beltandroad/2018-09/03/content_61849761.htm"/>
    <s v="https://web.archive.org/web/20191125192131/https://www.argentina.gob.ar/noticias/argentina-y-china-firmaron-el-primer-contrato-gobierno-gobierno-con-una-tasa-preferencial"/>
    <s v="https://web.archive.org/web/20230808142403/https://farn.org.ar/wp-content/uploads/2022/01/DOC_DEUDA_CHINA_V2.pdf"/>
  </r>
  <r>
    <s v="AR.006"/>
    <x v="8"/>
    <s v="SME Support"/>
    <n v="150"/>
    <x v="1"/>
    <s v="BICE [Banco de Inversion y Comercio Exterior]"/>
    <x v="1"/>
    <s v="Others"/>
    <x v="2"/>
    <s v=" https://web.archive.org/web/20230315160637/www.xinhuanet.com/english/2017-04/17/c_136213360.htm"/>
    <s v="https://web.archive.org/web/20170518041946/https://www.infobae.com/economia/2017/05/17/el-bice-cerro-un-acuerdo-en-china-para-financiar-a-pymes-por-usd-150-millones/"/>
    <s v="https://www.dropbox.com/s/zk2e9olpeu4iip6/estado_contable-2.pdf?dl=0; http://www.cdb.com.cn/English/xwzx_715/khdt/201709/t20170921_4600.html;"/>
  </r>
  <r>
    <s v="AR.007"/>
    <x v="9"/>
    <s v="San Martin Railway upgrade"/>
    <n v="1678"/>
    <x v="1"/>
    <s v="National government"/>
    <x v="0"/>
    <m/>
    <x v="1"/>
    <s v="https://web.archive.org/web/20181201122452/http://www.chinanews.com/cj/2018/11-30/8689718.shtml"/>
    <s v="https://web.archive.org/web/20220709192542/https://www.argentina.gob.ar/sites/default/files/memoria_de_gestion_2015-2019_0.pdf; https://web.archive.org/web/20190521051320/https://www.argentina.gob.ar/noticias/eximbank-china-confirma-su-compromiso-de-cooperacion-para-proyectos-de-inversion-en"/>
    <s v="https://web.archive.org/web/20180629072726/https://www.railwaygazette.com/news/freight/single-view/view/crcc-to-upgrade-san-martin-network.html"/>
  </r>
  <r>
    <s v="AR.008"/>
    <x v="9"/>
    <s v="Rail cars for Roca Commuter Line"/>
    <n v="236"/>
    <x v="1"/>
    <s v="National government"/>
    <x v="1"/>
    <m/>
    <x v="1"/>
    <s v="https://web.archive.org/web/20230313180752/https://www.boletinoficial.gob.ar/detalleAviso/primera/202293/20190225 "/>
    <s v="https://web.archive.org/web/20230313180953/https://www.latinfinance.com/daily-briefs/2019/2/26/china-finances-rolling-stock-in-argentina%29"/>
    <s v="https://www.argentina.gob.ar/economia/asuntosinternacionales/relaciones-financieras-internacionales-para-el-desarrollo/china and https://www.documentcloud.org/documents/20484893-arg_2019_471.%204 and https://www.argentina.gob.ar/economia/asuntosinternacionales/relaciones-financieras-internacionales-para-el-desarrollo-3"/>
  </r>
  <r>
    <s v="AR.009"/>
    <x v="5"/>
    <s v="San Martín railway stock"/>
    <n v="113.83"/>
    <x v="1"/>
    <s v="National government"/>
    <x v="0"/>
    <m/>
    <x v="1"/>
    <s v="https://web.archive.org/web/20240306202804/https://www.boletinoficial.gob.ar/pdf/aviso/primera/241788/20210312"/>
    <s v="https://drive.google.com/file/d/1--m1FL9MCWJysNUxSzZns7D3s1t9p6jp/view"/>
    <s v="https://web.archive.org/web/20231117144657/https://www.argentina.gob.ar/sites/default/files/c_2023-05-08-argentina-china.pdf; http://www.highbeam.com/doc/1P1-186371025.html, http://agoracom.com/ir/Crystallex/forums/discussion/topics/430457-china-inks-us-12-billion-argentine-rail-projects-deal/messages/1409135; http://online.wsj.com/article/SB10001424052748704518904575364523811330964.html"/>
  </r>
  <r>
    <s v="BB.001"/>
    <x v="10"/>
    <s v="Sam Lord’s Castle Hotel rehabilitation"/>
    <n v="170"/>
    <x v="2"/>
    <s v="BTI [Barbados Tourism Investment]"/>
    <x v="0"/>
    <s v="ICBC"/>
    <x v="4"/>
    <s v="https://web.archive.org/web/20160110154414/http://bb.chineseembassy.org/eng/sgxw/t1317289.htm"/>
    <s v="https://www.dropbox.com/s/nw8ge8mumtsxq9r/2014%20China%20Exim-Barbados%20Loan%20Agreement%20for%20Sam%20Lord%27s%20Hotel%20Project.pdf?dl=0"/>
    <m/>
  </r>
  <r>
    <s v="BB.002"/>
    <x v="11"/>
    <s v="Scotland District Road Rehabilitation (56 roads, 224km)"/>
    <n v="121"/>
    <x v="2"/>
    <s v="National government"/>
    <x v="0"/>
    <m/>
    <x v="1"/>
    <s v="https://web.archive.org/web/20220626180335/https://www.barbadosparliament.com/uploads/bill_resolution/9428c1bf3f10d56aa212ccd3d2130582.pdf"/>
    <s v="https://web.archive.org/web/20221220170727/https://gisbarbados.gov.bb/blog/road-works-in-shorey-village-close-to-completion/"/>
    <s v="https://web.archive.org/web/20220319162521/https://pmo.gov.bb/2022/02/18/road-rehabilitation-in-the-scotland-district-in-the-works/"/>
  </r>
  <r>
    <s v="BO.001"/>
    <x v="5"/>
    <s v="Purchase of Chinese satellite"/>
    <n v="249.5"/>
    <x v="3"/>
    <s v="National government"/>
    <x v="1"/>
    <m/>
    <x v="5"/>
    <s v="https://www.bcb.gob.bo/webdocs/informes_deudaexterna/Informe_Anual_2019_24012020_final.pdf and "/>
    <m/>
    <m/>
  </r>
  <r>
    <s v="BO.002"/>
    <x v="1"/>
    <s v="Purchase of helicopters, infrastructure"/>
    <n v="110.9"/>
    <x v="3"/>
    <s v="National government"/>
    <x v="1"/>
    <m/>
    <x v="1"/>
    <s v="https://web.archive.org/web/20200719001352/http://cl2.mofcom.gov.cn/aarticle/chinanews/201112/20111207897388.html"/>
    <m/>
    <m/>
  </r>
  <r>
    <s v="BO.003"/>
    <x v="6"/>
    <s v="Purchase 2000 Chinese buses"/>
    <n v="100"/>
    <x v="3"/>
    <s v="National government"/>
    <x v="0"/>
    <m/>
    <x v="1"/>
    <s v="https://web.archive.org/web/20240306223545/https://www.la-razon.com/economia/2012/07/24/choferes-pagaran-credito-chino-a-traves-de-un-chip-que-retendra-un-porcentaje-por-el-consumo-de-gnv/"/>
    <s v="https://web.archive.org/web/20240306223828/https://www.noticiasfides.com/economia/choferes-reciben-aval-presidencial-para-obtener-credito-de-us-100-millones-de-china-320298-320285"/>
    <m/>
  </r>
  <r>
    <s v="BO.004.01"/>
    <x v="2"/>
    <s v="El Espino-Charagua-Boyuibe Highway"/>
    <n v="215"/>
    <x v="3"/>
    <s v="National government"/>
    <x v="0"/>
    <m/>
    <x v="1"/>
    <s v="https://web.archive.org/web/20191203041906/https://www.bcb.gob.bo/webdocs/informes_deudaexterna/Informe%20Anual%202018_14032019.pdf"/>
    <s v="https://web.archive.org/web/20220127145323/https://quepasamedia.com/noticias/mundo/sudamerica/eximbank-de-china-financia-con-un-credito-de-253-millones-carretera/"/>
    <s v="https://www.bcb.gob.bo/webdocs/informes_deudaexterna/IDPE%2021.pdf, https://www.bcb.gob.bo/webdocs/informes_deudaexterna/Informe_Anual%202017_WEB.pdf"/>
  </r>
  <r>
    <s v="BO.004.02"/>
    <x v="2"/>
    <s v="El Sillar Highway"/>
    <n v="362"/>
    <x v="3"/>
    <s v="National government"/>
    <x v="0"/>
    <m/>
    <x v="1"/>
    <s v="https://web.archive.org/web/20191203041906/https://www.bcb.gob.bo/webdocs/informes_deudaexterna/Informe%20Anual%202018_14032019.pdf"/>
    <s v="http://www.gacetaoficialdebolivia.gob.bo/normas/buscar/3014"/>
    <m/>
  </r>
  <r>
    <s v="BO.004.03"/>
    <x v="10"/>
    <s v="Rurrenabaque-Riberalta roadway construction"/>
    <n v="492"/>
    <x v="3"/>
    <s v="National government"/>
    <x v="0"/>
    <m/>
    <x v="1"/>
    <s v="https://web.archive.org/web/20191203041906/https://www.bcb.gob.bo/webdocs/informes_deudaexterna/Informe_Anual_2015.pdf"/>
    <m/>
    <m/>
  </r>
  <r>
    <s v="BO.005.01"/>
    <x v="8"/>
    <s v="El Mutun steel project"/>
    <n v="396.1"/>
    <x v="3"/>
    <s v="National government"/>
    <x v="0"/>
    <m/>
    <x v="2"/>
    <s v="https://web.archive.org/web/20221124152114/https://www.bcb.gob.bo/webdocs/informes_deudaexterna/IDPE%2021.pdf"/>
    <s v="https://web.archive.org/web/20191203041906/https://www.bcb.gob.bo/webdocs/informes_deudaexterna/Informe%20Anual%202018_14032019.pdf"/>
    <s v="http://www.cambio.bo/?q=node/14851"/>
  </r>
  <r>
    <s v="BO.005.02"/>
    <x v="2"/>
    <s v="Rosita hydroelectric power plant"/>
    <n v="1000"/>
    <x v="3"/>
    <s v="National government"/>
    <x v="0"/>
    <m/>
    <x v="0"/>
    <s v="https://web.archive.org/web/20171214155444/https://www.ende.bo/noticia/noticia/35"/>
    <s v="https://web.archive.org/web/20171104190609/https://www.lexivox.org/norms/BO-DS-N2646.html"/>
    <m/>
  </r>
  <r>
    <s v="BO.005.03"/>
    <x v="2"/>
    <s v="Citizen security project"/>
    <n v="52.71"/>
    <x v="3"/>
    <s v="National government"/>
    <x v="0"/>
    <m/>
    <x v="6"/>
    <s v="https://web.archive.org/web/20191203041906/https://www.bcb.gob.bo/webdocs/informes_deudaexterna/Informe%20Anual%202018_14032019.pdf"/>
    <s v="https://web.archive.org/web/20201019054402/http://www.diputados.bo/leyes/ley-n%C2%B0-895"/>
    <s v="https://www.bcb.gob.bo/webdocs/informes_deudaexterna/Informe_Anual_2016_19062017_DETALLE.pdf; http://bo.china-embassy.org/chn/sgxw/t1424627.htm"/>
  </r>
  <r>
    <s v="BO.006"/>
    <x v="4"/>
    <s v="Purchase of 2 MA-60 Airplanes"/>
    <n v="36.78"/>
    <x v="3"/>
    <s v="National government"/>
    <x v="0"/>
    <m/>
    <x v="1"/>
    <s v="https://web.archive.org/web/20191203041906/https://www.bcb.gob.bo/webdocs/informes_deudaexterna/Informe%20Anual%202018_14032019.pdf"/>
    <m/>
    <m/>
  </r>
  <r>
    <s v="BO.007"/>
    <x v="8"/>
    <s v="Subnational security integration"/>
    <n v="51.78"/>
    <x v="3"/>
    <s v="National government"/>
    <x v="0"/>
    <m/>
    <x v="6"/>
    <s v="https://web.archive.org/web/20191203041906/https://www.bcb.gob.bo/webdocs/informes_deudaexterna/Informe%20Anual%202018_14032019.pdf "/>
    <m/>
    <m/>
  </r>
  <r>
    <s v="BO.009"/>
    <x v="5"/>
    <s v="Engineering Battalion Machinery Project"/>
    <n v="41.51"/>
    <x v="3"/>
    <s v="National government"/>
    <x v="0"/>
    <m/>
    <x v="4"/>
    <s v="https://web.archive.org/web/20191203044949/https://www.bcb.gob.bo/webdocs/publicacionesbcb/gestion2010_anexos.pdf"/>
    <m/>
    <m/>
  </r>
  <r>
    <s v="BO.010"/>
    <x v="1"/>
    <s v="Purchase of drilling equipment"/>
    <n v="59.73"/>
    <x v="3"/>
    <s v="National government"/>
    <x v="0"/>
    <m/>
    <x v="0"/>
    <s v="https://web.archive.org/web/20191203041906/https://www.bcb.gob.bo/webdocs/informes_deudaexterna/Informe%20Anual%202018_14032019.pdf"/>
    <m/>
    <m/>
  </r>
  <r>
    <s v="BR.000.1"/>
    <x v="4"/>
    <s v="GASENE pipeline"/>
    <n v="750"/>
    <x v="4"/>
    <s v="BNDES [Banco Nacional de Desenvolvimento Econômico e Social]"/>
    <x v="1"/>
    <m/>
    <x v="0"/>
    <s v="http://web.archive.org/web/20220306105147/https://www.sec.gov/Archives/edgar/data/1119639/000129281407003654/pbra20071227_6k.htm"/>
    <s v="http://investimentos.desenvolvimento.gov.br/public/arquivo/arq1272637600.pdf; https://www.annualreports.com/HostedData/AnnualReportArchive/c/NYSE_EBR_2007.pdf"/>
    <m/>
  </r>
  <r>
    <s v="BR.000.2"/>
    <x v="4"/>
    <s v="Presidente Médici Candiota Power Station (3rd expansion)"/>
    <n v="281"/>
    <x v="4"/>
    <s v="National government"/>
    <x v="1"/>
    <m/>
    <x v="0"/>
    <s v="https://web.archive.org/web/20240306212101/https://eletrobras.com/en/SobreaEletrobras/Annual%20Report_2007.pdf"/>
    <m/>
    <m/>
  </r>
  <r>
    <s v="BR.001"/>
    <x v="12"/>
    <s v="Pre-salt oil field development"/>
    <n v="10000"/>
    <x v="4"/>
    <s v="Petrobras [Petróleo Brasileiro S.A.]"/>
    <x v="1"/>
    <m/>
    <x v="0"/>
    <s v="https://web.archive.org/web/*/https://www.sec.gov/Archives/edgar/data/1119639/000129281410001665/pbraform20f2009.htm"/>
    <s v="https://web.archive.org/web/20120211190218/https://www.sec.gov/Archives/edgar/data/1119639/000129281411001552/pbraform20f2010.htm"/>
    <m/>
  </r>
  <r>
    <s v="BR.004"/>
    <x v="10"/>
    <s v="Bilateral cooperation agreement"/>
    <n v="3500"/>
    <x v="4"/>
    <s v="Petrobras [Petróleo Brasileiro S.A.]"/>
    <x v="1"/>
    <m/>
    <x v="0"/>
    <s v="https://web.archive.org/web/20230822120642/http://www.petrobras.com.br/fatos-e-dados/assinamos-acordo-de-financiamento-de-us-5-bilhoes-com-banco-de-desenvolvimento-da-china.htm"/>
    <s v="https://web.archive.org/web/*/https://www.sec.gov/Archives/edgar/data/1119639/000129281415001242/pbraform20f_2014.htm"/>
    <s v=" https://web.archive.org/web/20230822120642/http://www.petrobras.com.br/fatos-e-dados/assinamos-acordo-de-financiamento-de-us-5-bilhoes-com-banco-de-desenvolvimento-da-china.htm, https://mz-filemanager.s3.amazonaws.com/25fdf098-34f5-4608-b7fa-17d60b2de47d/comunicados-ao-mercadocentral-de-downloads/de13837da4e8c5d601b65976e556256a916a14615c56fcef2c7e101eddaf75e7/funding_agreement_of_usd_5_billion_with_china_deve.pdf, https://mz-filemanager.s3.amazonaws.com/25fdf098-34f5-4608-b7fa-17d60b2de47d/comunicados-ao-mercadocentral-de-downloads/3f5bd1188c20730b2ebc6390093709af2475a87fbba2edabdd9414784558a56c/clarification_on_news_conditions_of_the_loan_with_.pdf; http://www.cdb.com.cn/web/NewsInfo.asp?NewsId=5797"/>
  </r>
  <r>
    <s v="BR.005"/>
    <x v="10"/>
    <s v="Bilateral cooperation agreenment, additional funds"/>
    <n v="1500"/>
    <x v="4"/>
    <s v="Petrobras [Petróleo Brasileiro S.A.]"/>
    <x v="1"/>
    <m/>
    <x v="0"/>
    <s v="https://web.archive.org/web/20230822120642/http://www.petrobras.com.br/fatos-e-dados/assinamos-acordo-de-financiamento-de-us-5-bilhoes-com-banco-de-desenvolvimento-da-china.htm"/>
    <s v="https://web.archive.org/web/20240306201051/https://mz-filemanager.s3.amazonaws.com/25fdf098-34f5-4608-b7fa-17d60b2de47d/comunicados-ao-mercadocentral-de-downloads/3f5bd1188c20730b2ebc6390093709af2475a87fbba2edabdd9414784558a56c/clarification_on_news_conditions_of_the_loan_with_.pdf"/>
    <s v="https://web.archive.org/web/20240306201111/https://mz-filemanager.s3.amazonaws.com/25fdf098-34f5-4608-b7fa-17d60b2de47d/comunicados-ao-mercadocentral-de-downloads/de13837da4e8c5d601b65976e556256a916a14615c56fcef2c7e101eddaf75e7/funding_agreement_of_usd_5_billion_with_china_deve.pdf; http://www.cdb.com.cn/web/NewsInfo.asp?NewsId=5797"/>
  </r>
  <r>
    <s v="BR.006"/>
    <x v="10"/>
    <s v="Sale of 40 E-195 aircrafts"/>
    <n v="1300"/>
    <x v="4"/>
    <s v="BNDES [Banco Nacional de Desenvolvimento Econômico e Social]"/>
    <x v="0"/>
    <m/>
    <x v="2"/>
    <s v="https://web.archive.org/web/20150521021316/http://www.bndes.gov.br/SiteBNDES/bndes/bndes_pt/Institucional/Sala_de_Imprensa/Noticias/2015/Industria/20150519_avioesembraer.html"/>
    <m/>
    <s v="http://www.eximbank.gov.cn/tm/Newlist/index_343_27358.html"/>
  </r>
  <r>
    <s v="BR.007"/>
    <x v="10"/>
    <s v="Soy processing industrial line"/>
    <n v="1210"/>
    <x v="4"/>
    <s v="National government"/>
    <x v="1"/>
    <m/>
    <x v="2"/>
    <s v="https://web.archive.org/web/20231115211323/https://www.semadesc.ms.gov.br/apos-anuncio-de-investimento-e-us-12-bilhao-maracaju-prepara-se-para-transformacao/"/>
    <s v="http://www.cdb.com.cn/web/NewsInfo.asp?NewsId=5797"/>
    <m/>
  </r>
  <r>
    <s v="BR.008"/>
    <x v="2"/>
    <s v="Debt financing"/>
    <n v="5000"/>
    <x v="4"/>
    <s v="Petrobras [Petróleo Brasileiro S.A.]"/>
    <x v="1"/>
    <m/>
    <x v="6"/>
    <s v="https://web.archive.org/web/20221006063450/http://www.petrobras.com.br/fatos-e-dados/assinamos-acordo-de-financiamento-de-us-5-bilhoes-com-banco-de-desenvolvimento-da-china.htm"/>
    <s v="https://web.archive.org/web/20220322181929/https://api.mziq.com/mzfilemanager/v2/d/25fdf098-34f5-4608-b7fa-17d60b2de47d/6fd83f76-d750-6e00-ee69-6241492f2ae9?origin=1"/>
    <s v="https://mz-filemanager.s3.amazonaws.com/25fdf098-34f5-4608-b7fa-17d60b2de47d/central-de-resultadoscentral-de-downloads/20da00e0b1926d7dc8d5c1dc007e815f6a0497f32166fd438a7703ce8d90106e/2016_financial_statements_usd.pdf; https://mz-filemanager.s3.amazonaws.com/25fdf098-34f5-4608-b7fa-17d60b2de47d/central-de-resultadoscentral-de-downloads/b35a36001422098a1409a95af8e3449f9ddd80b59fb7a91fe5b6ebf69e8961ff/4q17_financial_statements_usd.pdf; https://www.sec.gov/Archives/edgar/data/1119639/000119312517140235/d375139d20f.htm, https://mz-filemanager.s3.amazonaws.com/25fdf098-34f5-4608-b7fa-17d60b2de47d/relatorios-anuaiscentral-de-downloads/b2e55a64abef30aa3ee73a57750d95b9e79a49a89859aba25e70049f0e222899/annual_report_2016.pdf; http://www.cdb.com.cn/web/NewsInfo.asp?NewsId=5797; http://www.wsj.com/articles/petroleo-brasileiro-signs-financing-deal-with-china-development-bank-1481895969; http://www.latinfinance.com/Article/3648067/Petrobras-receives-5bn-loan-from-Chinese-development-bank.html#/.WFgFOFUrLcs; http://www.brazilgovnews.gov.br/news/2016/12/petrobras-gets-us-5-billion-in-financing-from-chinese-bank"/>
  </r>
  <r>
    <s v="BR.009"/>
    <x v="2"/>
    <s v="Debt financing"/>
    <n v="1000"/>
    <x v="4"/>
    <s v="Petrobras Global Trading [Petróleo Brasileiro S.A.]"/>
    <x v="0"/>
    <m/>
    <x v="0"/>
    <s v="https://web.archive.org/web/20221013181426/https://www.sec.gov/Archives/edgar/data/1119639/000119312519093231/d692671d20f.htm"/>
    <s v="https://web.archive.org/web/20230927200903/https://www.reuters.com/article/petrobras-china-loan/petrobras-receives-900-mln-first-tranche-of-china-eximbank-loan-idINL2N1T12C1"/>
    <m/>
  </r>
  <r>
    <s v="BR.010"/>
    <x v="8"/>
    <s v="Oil production"/>
    <n v="5000"/>
    <x v="4"/>
    <s v="Petrobras [Petróleo Brasileiro S.A.]"/>
    <x v="1"/>
    <m/>
    <x v="0"/>
    <s v="https://web.archive.org/web/20171207040657/http://www.ecns.cn/business/2017/12-07/283529.shtml"/>
    <s v="https://web.archive.org/web/20170101083547/https://petrobras.com.br/fatos-e-dados/recebemos-us-5-bilhoes-do-china-development-bank.htm"/>
    <s v="https://img.exim.gov/s3fs-public/reports/competitiveness_reports/2017/China%20Database%202017.pdf, https://www.sec.gov/Archives/edgar/data/1119639/000156459018005812/pbr-6k_20180331.htm"/>
  </r>
  <r>
    <s v="BR.011"/>
    <x v="9"/>
    <s v="China-Brazil trade financing"/>
    <n v="300"/>
    <x v="4"/>
    <s v="Banco do Brasil"/>
    <x v="0"/>
    <m/>
    <x v="2"/>
    <s v="https://web.archive.org/web/20230315144737/http://english.eximbank.gov.cn/News/NewsR/201807/t20180730_6762.html"/>
    <s v="https://web.archive.org/web/20240229233248/https://api.mziq.com/mzfilemanager/v2/d/5760dff3-15e1-4962-9e81-322a0b3d0bbd/09955da0-2b96-56cb-71c5-190ec64b5fb2?origin=1"/>
    <s v="https://web.archive.org/web/20230315155338/https://www.reuters.com/article/idAFL5E7KU2HB20110930"/>
  </r>
  <r>
    <s v="BR.012"/>
    <x v="9"/>
    <s v="Line of credit"/>
    <n v="750"/>
    <x v="4"/>
    <s v="Petrobras [Petróleo Brasileiro S.A.]"/>
    <x v="0"/>
    <m/>
    <x v="0"/>
    <s v="https://web.archive.org/web/20230124233414/https://www.sec.gov/Archives/edgar/data/1119639/000129281421001152/pbraform20f_2020.htm"/>
    <m/>
    <m/>
  </r>
  <r>
    <s v="BR.013"/>
    <x v="11"/>
    <s v="Banco do Brasil term facility"/>
    <n v="500"/>
    <x v="4"/>
    <s v="Banco do Brasil"/>
    <x v="1"/>
    <m/>
    <x v="3"/>
    <s v="https://web.archive.org/web/20220216190305/https://br.lexlatin.com/noticias/banco-do-brasil-recebe-emprestimo-do-banco-de-desenvolvimento-da-china"/>
    <s v="https://web.archive.org/web/20220127163240/https://www.shearman.com/news-and-events/news/2022/01/banco-do-brasil-raises-500m-in-term-loan-facility-with-china-development-bank"/>
    <m/>
  </r>
  <r>
    <s v="BR.014.1"/>
    <x v="13"/>
    <s v="Investments in energy, green economy and technology: Long-term facility"/>
    <n v="800"/>
    <x v="4"/>
    <s v="BNDES [Banco Nacional de Desenvolvimento Econômico e Social]"/>
    <x v="1"/>
    <m/>
    <x v="4"/>
    <s v="https://web.archive.org/web/20231026175230/https://www.bndes.gov.br/wps/portal/site/home/imprensa/noticias/conteudo/bndes-e-banco-de-desenvolvimento-chines-assinam-acordo-de-uss-1-3-bilhao%20-para-infraestrutura-e-economia-verde-no-brasil"/>
    <m/>
    <s v="https://www.cdb.com.cn/xwzx/khdt/202308/t20230825_11062.html"/>
  </r>
  <r>
    <s v="BR.014.2"/>
    <x v="13"/>
    <s v="Investments in energy, green economy and technology: Short-term facility"/>
    <n v="500"/>
    <x v="4"/>
    <s v="BNDES [Banco Nacional de Desenvolvimento Econômico e Social]"/>
    <x v="1"/>
    <m/>
    <x v="3"/>
    <s v="https://web.archive.org/web/20231026175230/https://www.bndes.gov.br/wps/portal/site/home/imprensa/noticias/conteudo/bndes-e-banco-de-desenvolvimento-chines-assinam-acordo-de-uss-1-3-bilhao%20-para-infraestrutura-e-economia-verde-no-brasil"/>
    <s v="https://www.cdb.com.cn/xwzx/mtjj/202308/t20230825_11072.html"/>
    <m/>
  </r>
  <r>
    <s v="BS.001"/>
    <x v="1"/>
    <s v="Nassau airport gateway project"/>
    <n v="58"/>
    <x v="5"/>
    <s v="National government"/>
    <x v="0"/>
    <m/>
    <x v="1"/>
    <s v="http://web.archive.org/web/20220901073948/https://www.mfa.gov.cn/ce/cebs//chn/sbgx/t804245.htm"/>
    <s v="https://web.archive.org/web/20240221223857/http://bf.mofcom.gov.cn/article/todayheader/201312/20131200442873.shtml"/>
    <m/>
  </r>
  <r>
    <s v="BS.002"/>
    <x v="6"/>
    <s v="Abaco infrastructure works"/>
    <n v="41"/>
    <x v="5"/>
    <s v="National government"/>
    <x v="0"/>
    <m/>
    <x v="4"/>
    <s v="https://web.archive.org/web/20170421213705/https://www.chinadaily.com.cn/world/2017-04/21/content_29033502.htm"/>
    <s v="https://web.archive.org/save/https://www.bahamaslocal.com/newsitem/39422/Bahamas_China_Sign_40M_Loan_Agreement_for_Abaco_Infrastructural_Works.html"/>
    <m/>
  </r>
  <r>
    <s v="CR.001"/>
    <x v="0"/>
    <s v="Credit line to BNCR for infrastructure, social development"/>
    <n v="40"/>
    <x v="6"/>
    <s v="BNCR [Banco Nacional de Costa Rica]"/>
    <x v="1"/>
    <m/>
    <x v="4"/>
    <s v="https://www.dropbox.com/s/cemcy1xv0jstun9/2008%20CDB%20Loan%20Agreement%20with%20Costa%20Rica.pdf?dl=0"/>
    <m/>
    <m/>
  </r>
  <r>
    <s v="CR.002.01"/>
    <x v="10"/>
    <s v="Highway construction - San José to Limón (USD tranche)"/>
    <n v="395"/>
    <x v="6"/>
    <s v="National government"/>
    <x v="0"/>
    <m/>
    <x v="1"/>
    <s v="https://web.archive.org/web/20210816165712/http://www.pgrweb.go.cr/scij/Busqueda/Normativa/Normas/nrm_texto_completo.aspx?param1=NRTC&amp;param2=1&amp;nValor1=1&amp;nValor2=79369&amp;nValor3=100344&amp;strTipM=TC&amp;lResultado=3&amp;nValor4=1&amp;strSelect=sel"/>
    <s v="https://web.archive.org/web/20150225011517/http://www.ticotimes.net/2015/02/23/lawmakers-approve-chinese-loan-for-expanding-route-32-to-the-caribbean"/>
    <m/>
  </r>
  <r>
    <s v="CR.002.02"/>
    <x v="10"/>
    <s v="Highway construction - San José to Limón (RMB tranche)"/>
    <n v="47.51"/>
    <x v="6"/>
    <s v="National government"/>
    <x v="0"/>
    <m/>
    <x v="1"/>
    <s v="https://web.archive.org/web/20210816165712/http://www.pgrweb.go.cr/scij/Busqueda/Normativa/Normas/nrm_texto_completo.aspx?param1=NRTC&amp;param2=1&amp;nValor1=1&amp;nValor2=79369&amp;nValor3=100344&amp;strTipM=TC&amp;lResultado=3&amp;nValor4=1&amp;strSelect=sel"/>
    <s v="https://web.archive.org/web/20150225011517/http://www.ticotimes.net/2015/02/23/lawmakers-approve-chinese-loan-for-expanding-route-32-to-the-caribbean"/>
    <m/>
  </r>
  <r>
    <s v="CR.003"/>
    <x v="11"/>
    <s v="Unspecified"/>
    <n v="50"/>
    <x v="6"/>
    <s v="BNCR [Banco Nacional de Costa Rica]"/>
    <x v="1"/>
    <m/>
    <x v="4"/>
    <s v="https://web.archive.org/web/20231020015357/http://www.mofcom.gov.cn/dl/gbdqzn/upload/gesidalijia.pdf"/>
    <s v="https://web.archive.org/web/20240226203800/https://www.bncr.fi.cr/_cache_42a2/content/1609240000215132.pdf "/>
    <m/>
  </r>
  <r>
    <s v="CU.001"/>
    <x v="10"/>
    <s v="Jesus Rabi Biomass Power Plant (20MW)"/>
    <n v="60"/>
    <x v="7"/>
    <s v="National government"/>
    <x v="0"/>
    <m/>
    <x v="0"/>
    <s v="https://drive.google.com/file/d/1mqKvIXoeh60Gwec5CLpgyfOsaui8BgUE/view?usp=drive_link "/>
    <m/>
    <m/>
  </r>
  <r>
    <s v="CU.002"/>
    <x v="2"/>
    <s v="Terminal in Santiago de Cuba port"/>
    <n v="120"/>
    <x v="7"/>
    <s v="National government"/>
    <x v="0"/>
    <m/>
    <x v="1"/>
    <s v="https://web.archive.org/web/20180210113032/http://www.xinhuanet.com/english/2017-12/08/c_136810814.htm"/>
    <s v="https://web.archive.org/web/20240306213353/http://www.chinacelacforum.org/esp/zgtlmjlbgjgx_2/202205/t20220531_10696646.htm"/>
    <m/>
  </r>
  <r>
    <s v="CU.003"/>
    <x v="8"/>
    <s v="La Herradura Wind Farm Project (Phases I and II)"/>
    <n v="159.69999999999999"/>
    <x v="7"/>
    <s v="National government"/>
    <x v="1"/>
    <m/>
    <x v="0"/>
    <s v="https://web.archive.org/web/20160620213437/http://spanish.peopledaily.com.cn/n3/2016/0619/c31617-9074269.html"/>
    <s v="https://web.archive.org/web/20190606032740/https://www.mitrans.gob.cu/es/noticias/diputados-cubanos-analizan-situacion-del-transporte-ferroviario-en-el-pais"/>
    <m/>
  </r>
  <r>
    <s v="CU.004"/>
    <x v="8"/>
    <s v="Port of Havana floating dock"/>
    <n v="29.1"/>
    <x v="7"/>
    <s v="National government"/>
    <x v="0"/>
    <m/>
    <x v="1"/>
    <s v="https://web.archive.org/web/20230315142607/http://www.gov.cn/xinwen/2019-11/01/content_5447313.htm"/>
    <s v="https://webcache.googleusercontent.com/search?q=cache:8DnhERzgym8J:https://misiones.cubaminrex.cu/es/articulo/se-inaugura-en-china-construccion-de-dique-flotante-para-los-astilleros-cubanos-0&amp;cd=1&amp;hl=en&amp;ct=clnk&amp;gl=us&amp;client=safari"/>
    <m/>
  </r>
  <r>
    <s v="DM.001"/>
    <x v="5"/>
    <s v="Building construction and road rehabilitation"/>
    <n v="41.36"/>
    <x v="8"/>
    <s v="National government"/>
    <x v="0"/>
    <m/>
    <x v="4"/>
    <s v="https://web.archive.org/web/20210529004549/https://www.sakafete.com/parliament-approves-important-legislation/ "/>
    <m/>
    <m/>
  </r>
  <r>
    <s v="EC.001"/>
    <x v="5"/>
    <s v="Coca-Codo-Sinclair hydroelectric dam"/>
    <n v="1682.7449999999999"/>
    <x v="9"/>
    <s v="National government"/>
    <x v="0"/>
    <m/>
    <x v="0"/>
    <s v="https://web.archive.org/web/20221230140828/https://www.finanzas.gob.ec/wp-content/uploads/downloads/2022/11/Coca-Codo-Amendment-Agreement-to-Buyer-Credit-Loan-Agreement-E_13103807_1.pdf "/>
    <s v="https://web.archive.org/web/20161117190154/http://www.planv.com.ec/investigacion/investigacion/coca-codo-la-joya-la-corona-se-inaugura-con-sobrecostos-y-largos"/>
    <s v="https://web.archive.org/web/20200305210533/https://periodismodeinvestigacion.com/wp-content/uploads/2018/11/THE-EXPORT-IMPORT-BANL-OFF-CHINA-as-Lender-and-ECUADOR.pdf"/>
  </r>
  <r>
    <s v="EC.002"/>
    <x v="5"/>
    <s v="Phase I facility: 80% discretionary, 20% oil"/>
    <n v="1000"/>
    <x v="9"/>
    <s v="Petroecuador [Empresa Estatal Petróleos del Ecuador]"/>
    <x v="1"/>
    <m/>
    <x v="4"/>
    <s v="https://web.archive.org/web/20221230141449/https://www.finanzas.gob.ec/wp-content/uploads/downloads/2020/08/1.2-Facility-Agreement-CDB-I.pdf "/>
    <s v="https://web.archive.org/web/20221230141520/https://www.finanzas.gob.ec/wp-content/uploads/downloads/2020/08/1.1-Four-Party-Agreement-CDB-I.pdf "/>
    <s v="http://biblioteca.bce.ec/cgi-bin/koha/opac-detail.pl?biblionumber=91325 "/>
  </r>
  <r>
    <s v="EC.003.01"/>
    <x v="1"/>
    <s v="Esmeraldas II Thermal Power Plant"/>
    <n v="50"/>
    <x v="9"/>
    <s v="National government"/>
    <x v="1"/>
    <m/>
    <x v="0"/>
    <s v="https://web.archive.org/web/20220302163732/https://www.finanzas.gob.ec/wp-content/uploads/downloads/2020/08/1.1-Four-Party-Agreement-dated-27-June-2011-CDB-II.pdf"/>
    <s v="https://web.archive.org/web/20240211021622/https://www.celec.gob.ec/images/pdf/pai-2012.pdf"/>
    <s v="https://web.archive.org/web/20240116142430/https://resourcegovernance.org/sites/default/files/documents/resource-backed-loans-pitfalls-and-potential.pdf "/>
  </r>
  <r>
    <s v="EC.003.02"/>
    <x v="1"/>
    <s v="Villonaco wind farm"/>
    <n v="37.5"/>
    <x v="9"/>
    <s v="National government"/>
    <x v="1"/>
    <m/>
    <x v="0"/>
    <s v="https://web.archive.org/web/20220302163732/https://www.finanzas.gob.ec/wp-content/uploads/downloads/2020/08/1.1-Four-Party-Agreement-dated-27-June-2011-CDB-II.pdf"/>
    <s v="https://web.archive.org/web/20220309000758/https://www.finanzas.gob.ec/wp-content/uploads/downloads/2020/08/1.2-Facility-Agreement-dated-27-June-2011-CDB-II.pdf"/>
    <s v="http://web.archive.org/web/20110809095433/http://andes.info.ec/economia/usd-2-000-millones-de-credito-chino-seran-para-financiar-proyectos-hidroelectricos-y-de-riego-72135.html"/>
  </r>
  <r>
    <s v="EC.003.03"/>
    <x v="1"/>
    <s v="ECU-911 security project (Phase II facility financing)"/>
    <n v="94.59"/>
    <x v="9"/>
    <s v="National government"/>
    <x v="1"/>
    <m/>
    <x v="6"/>
    <s v="https://web.archive.org/web/20240211021118/https://publicadministration.un.org/unpsa/Portals/0/UNPSA_Submitted_Docs/Informe%20de%20Ejecuci%C3%B3n%20del%20Proyecto%20Sistema%20de%20Comando%20y%20Control.pdf?ver=2018-11-30-213315-317 "/>
    <s v="https://web.archive.org/web/20220309000758/https://www.finanzas.gob.ec/wp-content/uploads/downloads/2020/08/1.2-Facility-Agreement-dated-27-June-2011-CDB-II.pdf"/>
    <s v="https://www.finanzas.gob.ec/wp-content/uploads/downloads/2020/08/1.1-Four-Party-Agreement-dated-27-June-2011-CDB-II.pdf"/>
  </r>
  <r>
    <s v="EC.003.05"/>
    <x v="3"/>
    <s v="Minas-San Francisco hydroelectric dam (Phase II facility financing)"/>
    <n v="506"/>
    <x v="9"/>
    <s v="National government"/>
    <x v="1"/>
    <m/>
    <x v="0"/>
    <s v="https://www.finanzas.gob.ec/wp-content/uploads/downloads/2020/08/1.2-Facility-Agreement-dated-27-June-2011-CDB-II.pdf; "/>
    <s v="https://www.finanzas.gob.ec/wp-content/uploads/downloads/2020/08/1.1-Four-Party-Agreement-dated-27-June-2011-CDB-II.pdf"/>
    <s v="http://web.archive.org/web/20110809095433/http://andes.info.ec/economia/usd-2-000-millones-de-credito-chino-seran-para-financiar-proyectos-hidroelectricos-y-de-riego-72135.html"/>
  </r>
  <r>
    <s v="EC.003.06"/>
    <x v="1"/>
    <s v="Delsitanisagua hydropower project"/>
    <n v="185"/>
    <x v="9"/>
    <s v="National government"/>
    <x v="1"/>
    <m/>
    <x v="0"/>
    <s v="https://web.archive.org/web/20230212234741/https://www.dusselpeters.com/130.pdf "/>
    <s v="https://web.archive.org/web/20240211021622/https://www.celec.gob.ec/images/pdf/pai-2012.pdf "/>
    <s v="https://web.archive.org/web/20110630173009/http://online.wsj.com/article/SB10001424052702304314404576412373916029508.html"/>
  </r>
  <r>
    <s v="EC.003.07"/>
    <x v="1"/>
    <s v="Quijos hydropower project"/>
    <n v="95.5"/>
    <x v="9"/>
    <s v="National government"/>
    <x v="1"/>
    <m/>
    <x v="0"/>
    <s v="https://web.archive.org/web/20220309000758/https://www.finanzas.gob.ec/wp-content/uploads/downloads/2020/08/1.2-Facility-Agreement-dated-27-June-2011-CDB-II.pdf"/>
    <s v="http://web.archive.org/web/20110809095433/http://andes.info.ec/economia/usd-2-000-millones-de-credito-chino-seran-para-financiar-proyectos-hidroelectricos-y-de-riego-72135.html "/>
    <m/>
  </r>
  <r>
    <s v="EC.003.08"/>
    <x v="1"/>
    <s v="Mazar Dudas dam"/>
    <n v="41.6"/>
    <x v="9"/>
    <s v="National government"/>
    <x v="1"/>
    <m/>
    <x v="0"/>
    <s v="http://web.archive.org/web/20110809095433/http://andes.info.ec/economia/usd-2-000-millones-de-credito-chino-seran-para-financiar-proyectos-hidroelectricos-y-de-riego-72135.html"/>
    <s v="https://web.archive.org/web/20220309000758/https://www.finanzas.gob.ec/wp-content/uploads/downloads/2020/08/1.2-Facility-Agreement-dated-27-June-2011-CDB-II.pdf"/>
    <s v="https://www.finanzas.gob.ec/wp-content/uploads/downloads/2020/08/1.1-Four-Party-Agreement-dated-27-June-2011-CDB-II.pdf"/>
  </r>
  <r>
    <s v="EC.003.09"/>
    <x v="1"/>
    <s v="Phase II  Facility: Discretionary "/>
    <n v="1009"/>
    <x v="9"/>
    <s v="National government"/>
    <x v="1"/>
    <m/>
    <x v="4"/>
    <s v="https://web.archive.org/web/20221230141337/https://www.finanzas.gob.ec/wp-content/uploads/downloads/2020/08/1.2-Facility-Agreement-dated-27-June-2011-CDB-II.pdf "/>
    <s v="https://web.archive.org/web/20220302163732/https://www.finanzas.gob.ec/wp-content/uploads/downloads/2020/08/1.1-Four-Party-Agreement-dated-27-June-2011-CDB-II.pdf"/>
    <m/>
  </r>
  <r>
    <s v="EC.004.01"/>
    <x v="1"/>
    <s v="ECU-911 security project (Phase III facility financing)"/>
    <n v="152.11000000000001"/>
    <x v="9"/>
    <s v="National government"/>
    <x v="1"/>
    <m/>
    <x v="6"/>
    <s v="https://web.archive.org/web/20240211021118/https://publicadministration.un.org/unpsa/Portals/0/UNPSA_Submitted_Docs/Informe%20de%20Ejecuci%C3%B3n%20del%20Proyecto%20Sistema%20de%20Comando%20y%20Control.pdf?ver=2018-11-30-213315-317 "/>
    <s v="https://web.archive.org/web/20220309000758/https://www.finanzas.gob.ec/wp-content/uploads/downloads/2020/08/1.2-Facility-Agreement-dated-27-June-2011-CDB-II.pdf"/>
    <s v="https://www.finanzas.gob.ec/wp-content/uploads/downloads/2020/08/1.1-Four-Party-Agreement-dated-27-June-2011-CDB-II.pdf"/>
  </r>
  <r>
    <s v="EC.004.02"/>
    <x v="1"/>
    <s v="Phase III facility: discretionary portion"/>
    <n v="1849"/>
    <x v="9"/>
    <s v="National government"/>
    <x v="1"/>
    <m/>
    <x v="4"/>
    <s v="https://web.archive.org/web/20240306214305/https://www.finanzas.gob.ec/wp-content/uploads/downloads/2013/02/DE_DIC_2012.pdf"/>
    <s v="https://www.dropbox.com/s/n3z8t3mgqpzdnv4/TERMINOS-Y-CONDICIONES.pdf?dl=0"/>
    <m/>
  </r>
  <r>
    <s v="EC.006"/>
    <x v="3"/>
    <s v="Simon Bolivar Highway"/>
    <n v="80.650000000000006"/>
    <x v="9"/>
    <s v="National government"/>
    <x v="0"/>
    <m/>
    <x v="1"/>
    <s v="https://web.archive.org/web/20240306214942/https://www.epmmop.gob.ec/epmmop/images/stories/lotaip/2011/dmdocuments/contrato_prolongacion_simon.pdf"/>
    <s v="https://web.archive.org/web/20130706070351/http://www.finanzas.gob.ec/wp-content/uploads/downloads/2013/02/003-22febrero2013.pdf"/>
    <s v="https://www.dropbox.com/s/sptor0fju165k3j/392125621-GovernmentConcessional-Loan-PreferentialBuyer-sCredit-Brochure-pdf.pdf?dl=0"/>
  </r>
  <r>
    <s v="EC.007"/>
    <x v="7"/>
    <s v="Coca-Codo Sinclair transmission system"/>
    <n v="509.23288265000002"/>
    <x v="9"/>
    <s v="National government"/>
    <x v="0"/>
    <m/>
    <x v="0"/>
    <s v="https://web.archive.org/web/20220308040423/http://www.finanzas.gob.ec/wp-content/uploads/downloads/2016/09/Cr%C3%A9ditos-internos-y-externos_AGOSTO-2016.pdf_x000a__x000a_"/>
    <m/>
    <s v="http://www.laht.com/article.aspArticleId=2358699&amp;CategoryId=14089"/>
  </r>
  <r>
    <s v="EC.010.01"/>
    <x v="2"/>
    <s v="Phase IV Facility: Discretionary"/>
    <n v="1500"/>
    <x v="9"/>
    <s v="National government"/>
    <x v="1"/>
    <m/>
    <x v="4"/>
    <s v="https://drive.google.com/file/d/1b_uoNndTFao6uAuX44erBb4HTG1kZgUx/view?usp=drive_link"/>
    <s v="https://www.dropbox.com/s/n3z8t3mgqpzdnv4/TERMINOS-Y-CONDICIONES.pdf?dl=0"/>
    <m/>
  </r>
  <r>
    <s v="EC.010.02"/>
    <x v="2"/>
    <s v="Phase IV Facility: Infrastructure Finance"/>
    <n v="490.21"/>
    <x v="9"/>
    <s v="National government"/>
    <x v="1"/>
    <m/>
    <x v="4"/>
    <s v="https://drive.google.com/file/d/1b_uoNndTFao6uAuX44erBb4HTG1kZgUx/view?usp=drive_link"/>
    <s v="https://www.dropbox.com/s/n3z8t3mgqpzdnv4/TERMINOS-Y-CONDICIONES.pdf?dl=0"/>
    <m/>
  </r>
  <r>
    <s v="EC.011"/>
    <x v="8"/>
    <s v="PROCDB Multisectoral Investment Program"/>
    <n v="200"/>
    <x v="9"/>
    <s v="National government"/>
    <x v="1"/>
    <m/>
    <x v="4"/>
    <s v="https://bde.fin.ec/el-bde-firmara-un-credito-de-financiamiento-con-el-banco-de-desarrollo-de-china/"/>
    <s v="https://web.archive.org/web/20180222062123/https://www.finanzas.gob.ec/wp-content/uploads/downloads/2017/12/DE_NOVIEMBRE-2017.pdf"/>
    <m/>
  </r>
  <r>
    <s v="EC.012"/>
    <x v="14"/>
    <s v="Airport reconstruction"/>
    <n v="73.36"/>
    <x v="9"/>
    <s v="National government"/>
    <x v="0"/>
    <m/>
    <x v="1"/>
    <s v="https://www.dropbox.com/s/bdxss8mioutueig/2019%20Bond%20Prospectus%20Government%20of%20Ecuador.pdf?dl=0 "/>
    <s v="https://web.archive.org/web/20220302164005/https://www.finanzas.gob.ec/wp-content/uploads/downloads/2020/07/Literal-l-LOTAIP-Contratos-de-crédito-externos-o-internos-2018-2020-MAYO.pdf"/>
    <m/>
  </r>
  <r>
    <s v="EC.013.01"/>
    <x v="14"/>
    <s v="Phase V Facility: Tranche A"/>
    <n v="675"/>
    <x v="9"/>
    <s v="National government"/>
    <x v="1"/>
    <m/>
    <x v="4"/>
    <s v="https://www.dropbox.com/s/bdxss8mioutueig/2019%20Bond%20Prospectus%20Government%20of%20Ecuador.pdf?dl=0 "/>
    <s v="https://web.archive.org/web/20220302164005/https://www.finanzas.gob.ec/wp-content/uploads/downloads/2020/07/Literal-l-LOTAIP-Contratos-de-crédito-externos-o-internos-2018-2020-MAYO.pdf"/>
    <m/>
  </r>
  <r>
    <s v="EC.013.02"/>
    <x v="14"/>
    <s v="Guaranda and Ambato Side Streets"/>
    <n v="43"/>
    <x v="9"/>
    <s v="National government"/>
    <x v="1"/>
    <m/>
    <x v="1"/>
    <s v="https://web.archive.org/web/20240211020002/https://www.obraspublicas.gob.ec/en-guaranda-se-inicia-la-construccion-de-su-emblematico-paso-lateral/ "/>
    <s v="https://web.archive.org/web/20220302062845/https://www.obraspublicas.gob.ec/wp-content/uploads/downloads/2020/02/LOTAIP_1_PAI-corte-31-de-ENERO-2020.pdf "/>
    <m/>
  </r>
  <r>
    <s v="EC.013.03"/>
    <x v="14"/>
    <s v="Phase V Facility: Tranche B (Discretionary)"/>
    <n v="188.57"/>
    <x v="9"/>
    <s v="National government"/>
    <x v="1"/>
    <m/>
    <x v="4"/>
    <s v="https://web.archive.org/web/20221230140859/https://www.finanzas.gob.ec/wp-content/uploads/downloads/2022/11/Amendment-Agreement-No.-2-to-Phase-V-Facility-Agreement-Executed.pdf"/>
    <s v="https://web.archive.org/web/20221225141902/https://www.reuters.com/article/ecuador-debt-china/ecuador-clinches-900-mln-loan-from-china-moreno-idUSL1N1YH0YJ"/>
    <s v="https://web.archive.org/web/20221225141902/https://www.reuters.com/article/ecuador-debt-china/ecuador-clinches-900-mln-loan-from-china-moreno-idUSL1N1YH0YJ; "/>
  </r>
  <r>
    <s v="EC.014"/>
    <x v="2"/>
    <s v="Yachay City of Knowledge"/>
    <n v="198.24"/>
    <x v="9"/>
    <s v="National government"/>
    <x v="0"/>
    <m/>
    <x v="7"/>
    <s v="https://web.archive.org/web/20210425185907/https://www.finanzas.gob.ec/finanzas-suscribe-convenio-de-credito-con-eximbank-de-china-para-yachay/ "/>
    <s v="https://web.archive.org/web/20180224003901/http://www.finanzas.gob.ec/wp-content/uploads/downloads/2016/12/DE_NOVIEMBRE-2016.pdf"/>
    <s v="https://www.dropbox.com/s/tnbmvu3oyr2av35/Base-de-Datos-Boletin-de-Deuda-Noviembre-2022.xlsx?e=1&amp;dl=0"/>
  </r>
  <r>
    <s v="EC.015"/>
    <x v="9"/>
    <s v="Deconcentration of Security Services in Districts and Circuits Project"/>
    <n v="106.18"/>
    <x v="9"/>
    <s v="National government"/>
    <x v="0"/>
    <m/>
    <x v="4"/>
    <s v="https://web.archive.org/save/https://www.finanzas.gob.ec/wp-content/uploads/downloads/2020/07/Literal-l-LOTAIP-Contratos-de-cre%CC%81dito-externos-o-internos-2018-2020-MAYO.pdf "/>
    <s v="https://www.dropbox.com/s/w2xdl229uxgd93c/Cuaderno-Estad%C3%ADstico-Agosto-2022.xls?dl=0"/>
    <m/>
  </r>
  <r>
    <s v="EC.016"/>
    <x v="9"/>
    <s v="Infrastructure Reconstruction Project Transport Phase II Group A: Golondrinas – Saguangal Highway"/>
    <n v="56.47"/>
    <x v="9"/>
    <s v="National government"/>
    <x v="0"/>
    <m/>
    <x v="1"/>
    <s v="https://web.archive.org/save/https://www.finanzas.gob.ec/wp-content/uploads/downloads/2020/07/Literal-l-LOTAIP-Contratos-de-cre%CC%81dito-externos-o-internos-2018-2020-MAYO.pdf "/>
    <s v="https://www.dropbox.com/s/w2xdl229uxgd93c/Cuaderno-Estad%C3%ADstico-Agosto-2022.xls?dl=0"/>
    <m/>
  </r>
  <r>
    <s v="EC.017"/>
    <x v="1"/>
    <s v="Sopladora hydroelectric dam"/>
    <n v="554.25155396000002"/>
    <x v="9"/>
    <s v="National government"/>
    <x v="0"/>
    <m/>
    <x v="0"/>
    <s v="https://web.archive.org/web/20231227013340/https://www.finanzas.gob.ec/wp-content/uploads/downloads/2013/02/DE_DIC_2011.pdf "/>
    <s v="https://www.finanzas.gob.ec/https-wwwdeuda-publica-nueva-metodologia/ (Base de Datos Boletín de Deuda Nov 2022)"/>
    <m/>
  </r>
  <r>
    <s v="EC.018"/>
    <x v="3"/>
    <s v="Minas-San Francisco hydroelectric dam (independent component)"/>
    <n v="312.5"/>
    <x v="9"/>
    <s v="National government"/>
    <x v="0"/>
    <m/>
    <x v="0"/>
    <s v="https://web.archive.org/web/20220308200856/https://www.finanzas.gob.ec/wp-content/uploads/downloads/2015/06/Contratos-de-crédito_mayo2015.pdf"/>
    <s v="https://web.archive.org/web/20220308040720/https://www.finanzas.gob.ec/wp-content/uploads/downloads/2019/03/literal-l-contrato-de-créditos-internos-y-externos_enero.pdf"/>
    <m/>
  </r>
  <r>
    <s v="EC.019"/>
    <x v="2"/>
    <s v="Santa Elena Aqueduct Hydraulic Plan Stage 1"/>
    <n v="102.5"/>
    <x v="9"/>
    <s v="National government"/>
    <x v="1"/>
    <m/>
    <x v="8"/>
    <s v="https://www.dropbox.com/s/npl1draoc4oghzu/2016%20China%20Eximbank%20Loan%20for%20Santa%20Elene%20Aqueduct%20Hydraulic%20Plan%20Stage%20One%20Project.pdf?dl=0"/>
    <s v="https://web.archive.org/web/*/https://www.finanzas.gob.ec/wp-content/uploads/downloads/2016/12/DE_NOVIEMBRE-2016.pdf"/>
    <m/>
  </r>
  <r>
    <s v="GD.001"/>
    <x v="8"/>
    <s v="Maurice Bishop International Airport upgrade"/>
    <n v="66"/>
    <x v="10"/>
    <s v="National government"/>
    <x v="0"/>
    <m/>
    <x v="1"/>
    <s v="https://web.archive.org/web/20230315142304/https://www.fmprc.gov.cn/eng/wjb_663304/zwjg_665342/zwbd_665378/202010/t20201030_629541.html"/>
    <s v="https://web.archive.org/web/20210526220528/https://www.nationnews.com/2021/05/26/grenada-receiving-funds-china-airport-development/"/>
    <m/>
  </r>
  <r>
    <s v="GY.000"/>
    <x v="15"/>
    <s v="Skeldon Sugar Refinery Modernisation Project"/>
    <n v="32.97"/>
    <x v="11"/>
    <s v="National government"/>
    <x v="0"/>
    <m/>
    <x v="2"/>
    <s v="https://web.archive.org/web/20240229192757/http://news.sina.com.cn/c/2004-12-14/14024520537s.shtml"/>
    <s v="https://web.archive.org/web/20221124020122/https://finance.gov.gy/wp-content/uploads/2021/05/Public-Debt-Annual-Report-2020-The-Cooperative-Republic-of-Guyana.pdf"/>
    <m/>
  </r>
  <r>
    <s v="GY.001"/>
    <x v="5"/>
    <s v="Guyana Power and Light (GPL) Transmission and Distribution Project"/>
    <n v="39"/>
    <x v="11"/>
    <s v="National government"/>
    <x v="0"/>
    <m/>
    <x v="0"/>
    <s v="https://web.archive.org/web/20220122014643/https://finance.gov.gy/wp-content/uploads/Public-Debt-Annual-Report-2017-to-be-published-on-line.pdf"/>
    <s v="https://web.archive.org/web/20220811021452/https://parliament.gov.gy/documents/acts/4147-gpl_2012_annual_report.pdf"/>
    <m/>
  </r>
  <r>
    <s v="GY.002"/>
    <x v="1"/>
    <s v="E- Government Project"/>
    <n v="32"/>
    <x v="11"/>
    <s v="National government"/>
    <x v="0"/>
    <m/>
    <x v="6"/>
    <s v="https://web.archive.org/web/20240306215715/https://parliament.gov.gy/documents/order-papers/615-29th_order_paper.pdf"/>
    <s v="https://web.archive.org/web/20220712222149/https://finance.gov.gy/wp-content/uploads/2021/01/volume_3_2011.pdf"/>
    <s v="https://web.archive.org/web/20221124020030/https://finance.gov.gy/wp-content/uploads/2017/05/Forensic-Audit-of-E-GOV.pdf"/>
  </r>
  <r>
    <s v="GY.003"/>
    <x v="6"/>
    <s v="Cheddi Jagan Airport expansion"/>
    <n v="130"/>
    <x v="11"/>
    <s v="National government"/>
    <x v="0"/>
    <m/>
    <x v="1"/>
    <s v="http://web.archive.org/web/20231104233928/https://mopw.gov.gy/posts/us59m-approved-cjia-modernisation-project"/>
    <s v="https://web.archive.org/web/20240311171706/https://jacobsfotos.files.wordpress.com/2013/07/cheddi-jagan-airport-extention-contract-with-the-chinese.pdf"/>
    <s v="https://web.archive.org/web/20140405182251/http://www.airport-technology.com/projects/cheddi-jagan-international-airport-expansion-guyana/"/>
  </r>
  <r>
    <s v="GY.004"/>
    <x v="8"/>
    <s v="East Coast Road Project, Phase I"/>
    <n v="46.42"/>
    <x v="11"/>
    <s v="National government"/>
    <x v="0"/>
    <m/>
    <x v="1"/>
    <s v="https://web.archive.org/web/20240222025337/https://s3.documentcloud.org/documents/20488285/guy_2016_480.pdf "/>
    <s v="https://web.archive.org/web/20220122014643/https://finance.gov.gy/wp-content/uploads/Public-Debt-Annual-Report-2017-to-be-published-on-line.pdf"/>
    <m/>
  </r>
  <r>
    <s v="GY.005"/>
    <x v="14"/>
    <s v="Guyana National Broadband Project"/>
    <n v="37.619999999999997"/>
    <x v="11"/>
    <s v="National government"/>
    <x v="0"/>
    <m/>
    <x v="5"/>
    <s v="https://web.archive.org/web/20220623045401/https://parliament.gov.gy/documents/hansards/99th_sitting_-_eleventh_parliament.pdf"/>
    <s v="https://web.archive.org/web/20221124020122/https://finance.gov.gy/wp-content/uploads/2021/05/Public-Debt-Annual-Report-2020-The-Cooperative-Republic-of-Guyana.pdf"/>
    <m/>
  </r>
  <r>
    <s v="GY.006"/>
    <x v="11"/>
    <s v="East Coast Road Project, Phase II"/>
    <n v="192"/>
    <x v="11"/>
    <s v="National government"/>
    <x v="0"/>
    <m/>
    <x v="1"/>
    <s v="https://web.archive.org/web/20221230230051/https://dpi.gov.gy/us192-million-phase-2-east-coast-road-project-to-commence-under-governments-expansive-aggressive-transport-infrastructure-initiative/"/>
    <m/>
    <m/>
  </r>
  <r>
    <s v="JM.000.01"/>
    <x v="15"/>
    <s v="Greenfield Stadium"/>
    <n v="30"/>
    <x v="12"/>
    <s v="National government"/>
    <x v="0"/>
    <m/>
    <x v="4"/>
    <s v="https://www.mfa.gov.cn/eng/wjb_663304/zwjg_665342/zwbd_665378/200511/t20051116_601504.html"/>
    <s v="https://web.archive.org/web/20180103072306/https://jamaica-gleaner.com/article/lead-stories/20180103/taxpayers-carrying-trelawny-stadiums-multimillion-dollar-load#google_vignette"/>
    <m/>
  </r>
  <r>
    <s v="JM.000.02"/>
    <x v="4"/>
    <s v="Montego Bay Convention Center"/>
    <n v="45.99"/>
    <x v="12"/>
    <s v="National government"/>
    <x v="0"/>
    <m/>
    <x v="4"/>
    <s v="https://web.archive.org/web/20201201214843/https://jis.gov.jm/jamaica-and-china-mark-35-years-of-diplomatic-relations/"/>
    <s v="https://web.archive.org/web/20240306222237/https://dominicanewsonline.com/news/homepage/news/business/jamaican-ministry-endorses-china-caribbean-economic-and-trade-co-operation-forum/"/>
    <m/>
  </r>
  <r>
    <s v="JM.001"/>
    <x v="12"/>
    <s v="On-lending through Development Bank of Jamaica"/>
    <n v="10"/>
    <x v="12"/>
    <s v="National government"/>
    <x v="1"/>
    <m/>
    <x v="3"/>
    <s v="http://web.archive.org/web/20150425120416/http://jis.gov.jm/china-extends-over-10-billion-in-aid-to-jamaica/ "/>
    <m/>
    <m/>
  </r>
  <r>
    <s v="JM.002"/>
    <x v="12"/>
    <s v="Short-term trade financing"/>
    <n v="100"/>
    <x v="12"/>
    <s v="National government"/>
    <x v="0"/>
    <m/>
    <x v="2"/>
    <s v="http://web.archive.org/web/20150425120416/http://jis.gov.jm/china-extends-over-10-billion-in-aid-to-jamaica/ "/>
    <m/>
    <m/>
  </r>
  <r>
    <s v="JM.003.01"/>
    <x v="5"/>
    <s v="Shoreline reconstruction"/>
    <n v="58.1"/>
    <x v="12"/>
    <s v="National government"/>
    <x v="0"/>
    <m/>
    <x v="4"/>
    <s v="https://www.nwa.gov.jm/major-project/palisadoes-peninsula-shoreline-protection-and-rehabilitation"/>
    <m/>
    <m/>
  </r>
  <r>
    <s v="JM.003.02"/>
    <x v="5"/>
    <s v="Jamaica Development Infrastructure Programme"/>
    <n v="340"/>
    <x v="12"/>
    <s v="National government"/>
    <x v="0"/>
    <m/>
    <x v="1"/>
    <s v="http://web.archive.org/web/20221223143004/https://auditorgeneral.gov.jm/wp-content/uploads/2016/09/JDIP_Special_Audit_Report.pdf "/>
    <m/>
    <m/>
  </r>
  <r>
    <s v="JM.004"/>
    <x v="1"/>
    <s v="Jamaica Economic Housing Project"/>
    <n v="71.2"/>
    <x v="12"/>
    <s v="National government"/>
    <x v="0"/>
    <m/>
    <x v="9"/>
    <s v="http://web.archive.org/web/20201128195008/https://jis.gov.jm/china-communications-construction-company-gets-green-light/"/>
    <m/>
    <m/>
  </r>
  <r>
    <s v="JM.005.02"/>
    <x v="3"/>
    <s v="Major Infrastructure Development Programme"/>
    <n v="300"/>
    <x v="12"/>
    <s v="National government"/>
    <x v="0"/>
    <m/>
    <x v="1"/>
    <s v="https://web.archive.org/web/20150928060546/https://www.nwa.gov.jm/major-infrastructure-development-programme"/>
    <m/>
    <m/>
  </r>
  <r>
    <s v="JM.006"/>
    <x v="2"/>
    <s v="Road network"/>
    <n v="327"/>
    <x v="12"/>
    <s v="National government"/>
    <x v="0"/>
    <m/>
    <x v="1"/>
    <s v="https://web.archive.org/web/20160619042156/http://news.xinhuanet.com/english/2016-06/17/c_135445559.htm"/>
    <s v="https://web.archive.org/web/20170217002322/https://jamaica-gleaner.com/article/business/20170216/shaw-signs-us326m-loan-agreement-southern-highway-extension-toll-road"/>
    <m/>
  </r>
  <r>
    <s v="JM.007"/>
    <x v="8"/>
    <s v="Southern Coastal Highway Improvement Project"/>
    <n v="326"/>
    <x v="12"/>
    <s v="National government"/>
    <x v="0"/>
    <m/>
    <x v="1"/>
    <s v="https://web.archive.org/web/20200222104819/http://en.people.cn/n3/2017/0223/c90000-9181728.html"/>
    <s v="https://web.archive.org/web/20230208123724/https://opm.gov.jm/news/prime-minister-andrew-holness-urges-patience-as-intensive-work-on-the-st-thomas-leg-of-the-southern-coastal-highway-improvement-project-continues/"/>
    <m/>
  </r>
  <r>
    <s v="MX.001"/>
    <x v="3"/>
    <s v="Offshore drilling equipment"/>
    <n v="1000"/>
    <x v="13"/>
    <s v="Pemex [Petróleos Mexicanos]"/>
    <x v="0"/>
    <m/>
    <x v="0"/>
    <s v="https://web.archive.org/web/20130611075251/http://www.rigzone.com/news/oil_gas/a/126927/Pemex_China_Make_Landmark_Deal"/>
    <s v="https://web.archive.org/web/20231128131320/https://latinfinance.com/daily-brief/2013/06/06/china-loan-for-pemex/"/>
    <m/>
  </r>
  <r>
    <s v="PE.001"/>
    <x v="12"/>
    <s v="Transportation, infrastructure, environment, energy"/>
    <n v="50"/>
    <x v="14"/>
    <s v="Cofide [Corporacion Financiera de Desarrollo S.A.]"/>
    <x v="1"/>
    <m/>
    <x v="4"/>
    <s v="https://web.archive.org/web/20240306195551/https://andina.pe/agencia/noticia-cofide-and-china-development-bank-signed-loan-agreement-for-up-to-50-million-261722.aspx"/>
    <s v="https://web.archive.org/web/20240306223215/https://www.bnamericas.com/en/news/CDB_will_lend_Cofide_up_to_US%2A50mn"/>
    <m/>
  </r>
  <r>
    <s v="SR.001.01"/>
    <x v="0"/>
    <s v="Dalian III Road Rehabilitation Project"/>
    <n v="140.5"/>
    <x v="15"/>
    <s v="National government"/>
    <x v="0"/>
    <m/>
    <x v="1"/>
    <s v="https://drive.google.com/file/d/1jzP0IBer7aO2gFatFpDynMcX2x_Zd9a8/view?usp=drive_link"/>
    <m/>
    <m/>
  </r>
  <r>
    <s v="SR.001.02"/>
    <x v="0"/>
    <s v="Rehabilitation of 500km of roads"/>
    <n v="52"/>
    <x v="15"/>
    <s v="National government"/>
    <x v="0"/>
    <m/>
    <x v="1"/>
    <s v="https://drive.google.com/file/d/1jzP0IBer7aO2gFatFpDynMcX2x_Zd9a8/view?usp=drive_link"/>
    <m/>
    <m/>
  </r>
  <r>
    <s v="SR.002"/>
    <x v="6"/>
    <s v="Housing project"/>
    <n v="47.3"/>
    <x v="15"/>
    <s v="National government"/>
    <x v="0"/>
    <m/>
    <x v="9"/>
    <s v="https://web.archive.org/web/20150712202135/https://www.chinadaily.com.cn/business/2015-03/31/content_19958462.htm"/>
    <s v="https://web.archive.org/web/20181105012400/http://www.sdmo.org/images/Leningen/Leenovereenkomsten_Buitenland_2012.pdf"/>
    <s v="https://web.archive.org/web/20200513151000/https://www.dna.sr/media/201401/SB_2016_no._171.pdf"/>
  </r>
  <r>
    <s v="SR.003.01"/>
    <x v="2"/>
    <s v="Infratructure projects"/>
    <n v="235"/>
    <x v="15"/>
    <s v="National government"/>
    <x v="0"/>
    <m/>
    <x v="4"/>
    <s v="http://web.archive.org/web/20200926024224/https://www.sdmo.org/images/Leningen/Leenovereenkomsten_Buitenland_2016.pdf"/>
    <s v="https://web.archive.org/web/20240307000224/http://www.dna.sr/media/145186/_JAARREDE_van_de_PRESIDENT_over_het_dienstjaar_2017.pdf"/>
    <m/>
  </r>
  <r>
    <s v="SR.003.02"/>
    <x v="2"/>
    <s v="National broadband network"/>
    <n v="98.48"/>
    <x v="15"/>
    <s v="National government"/>
    <x v="0"/>
    <m/>
    <x v="5"/>
    <s v="http://web.archive.org/web/20200926024224/https://www.sdmo.org/images/Leningen/Leenovereenkomsten_Buitenland_2016.pdf"/>
    <s v="https://web.archive.org/web/20240307000224/http://www.dna.sr/media/145186/_JAARREDE_van_de_PRESIDENT_over_het_dienstjaar_2017.pdf"/>
    <m/>
  </r>
  <r>
    <s v="SR.004"/>
    <x v="9"/>
    <s v="J.A. Pengel International Airport Expansion"/>
    <n v="202.6"/>
    <x v="15"/>
    <s v="National government"/>
    <x v="0"/>
    <m/>
    <x v="1"/>
    <s v="https://web.archive.org/web/20191213205253/http://www.xinhuanet.com/money/2019-11/29/c_1210375140.htm"/>
    <s v="https://web.archive.org/web/20200926024358/https://www.sdmo.org/images/Leningen/foreign_loan_agreements_2019.pdf"/>
    <m/>
  </r>
  <r>
    <s v="TT.001"/>
    <x v="1"/>
    <s v="National Academies for Performing Arts renovation"/>
    <n v="32"/>
    <x v="16"/>
    <s v="National government"/>
    <x v="0"/>
    <m/>
    <x v="4"/>
    <s v="https://www.dropbox.com/s/sptor0fju165k3j/392125621-GovernmentConcessional-Loan-PreferentialBuyer-sCredit-Brochure-pdf.pdf?dl=0"/>
    <s v="https://web.archive.org/web/20220619200446/https://www.auditorgeneral.gov.tt/sites/default/files/Vol%20%201%20-%20Treasury%20Statements%202011.pdf"/>
    <m/>
  </r>
  <r>
    <s v="TT.002.01"/>
    <x v="3"/>
    <s v="Construction of Couva Children's Hospital"/>
    <n v="161"/>
    <x v="16"/>
    <s v="National government"/>
    <x v="0"/>
    <m/>
    <x v="9"/>
    <s v="http://web.archive.org/web/20231104222810/https://www.central-bank.org.tt/sites/default/files/latest-news/Updated%20Sept%2010%202013%20-%20EB%20July%202013.pdf"/>
    <s v="https://drive.google.com/file/d/13Uv2q9RHYLA3yJNoInI-IBPon0fVbH-e/view?usp=drive_link"/>
    <m/>
  </r>
  <r>
    <s v="TT.002.02"/>
    <x v="3"/>
    <s v="National Sporting Facilities Project"/>
    <n v="85"/>
    <x v="16"/>
    <s v="National government"/>
    <x v="0"/>
    <m/>
    <x v="4"/>
    <s v="http://web.archive.org/web/20231104222810/https://www.central-bank.org.tt/sites/default/files/latest-news/Updated%20Sept%2010%202013%20-%20EB%20July%202013.pdf"/>
    <s v="http://web.archive.org/web/20130319235005/http://www.newsday.co.tt/news/0,174909.html"/>
    <m/>
  </r>
  <r>
    <s v="TT.003"/>
    <x v="9"/>
    <s v="Pheonix Park Industrial Estate"/>
    <n v="99.64"/>
    <x v="16"/>
    <s v="National government"/>
    <x v="0"/>
    <m/>
    <x v="2"/>
    <s v="https://web.archive.org/web/20220619192730/https://auditorgeneral.gov.tt/sites/default/files/VOL-I-Accounts-of-the-Treasury.pdf"/>
    <s v="https://web.archive.org/web/20221230235344/https://www.finance.gov.tt/wp-content/uploads/2022/09/Budget-Statement-2023-E-Version.pdf"/>
    <s v="https://web.archive.org/web/20191114095320/https://newsday.co.tt/2019/11/14/govt-china-sign-loan-for-us104m/"/>
  </r>
  <r>
    <s v="TT.004"/>
    <x v="16"/>
    <s v="Purchase of vaccines and medical equipment"/>
    <n v="204"/>
    <x v="16"/>
    <s v="National government"/>
    <x v="1"/>
    <m/>
    <x v="9"/>
    <s v="https://web.archive.org/web/20210915195312/https://finance.gov.gy/wp-content/uploads/2021/05/Public-Debt-Annual-Report-2020-The-Cooperative-Republic-of-Guyana.pdf"/>
    <s v="https://web.archive.org/web/20210511172306/https://newsday.co.tt/2021/05/11/trinidad-and-tobago-to-take-chinese-loan-to-buy-chinese-vaccines/"/>
    <m/>
  </r>
  <r>
    <s v="VE.000"/>
    <x v="4"/>
    <s v="Joint Fund - Tranche A"/>
    <n v="4000"/>
    <x v="17"/>
    <s v="BANDES and PDVSA [Banco de Desarrollo Económico y Social de Venezuela and Petróleos de Venezuela]"/>
    <x v="1"/>
    <m/>
    <x v="4"/>
    <s v="http://web.archive.org/web/20230928200232/http://policy.mofcom.gov.cn/pact/pactContent.shtml?id=2373 "/>
    <s v="https://web.archive.org/web/20230823155843/http://www.sec.gov/Archives/edgar/data/103198/000119312512411807/d418533dex99d.htm"/>
    <m/>
  </r>
  <r>
    <s v="VE.001"/>
    <x v="12"/>
    <s v="Joint Fund - Tranche B"/>
    <n v="4000"/>
    <x v="17"/>
    <s v="BANDES and PDVSA [Banco de Desarrollo Económico y Social de Venezuela and Petróleos de Venezuela]"/>
    <x v="1"/>
    <m/>
    <x v="4"/>
    <s v="https://web.archive.org/web/20230823155843/http://www.sec.gov/Archives/edgar/data/103198/000119312512411807/d418533dex99d.htm"/>
    <s v="http://www.ministeriopublico.gob.ve/c/document_library/get_file?p_l_id=40497&amp;folderId=67170&amp;name=DLFE-2069.pdf"/>
    <m/>
  </r>
  <r>
    <s v="VE.002"/>
    <x v="12"/>
    <s v="Mining credit (on-lending to CVG [Corporación Venezolana de Guayana])"/>
    <n v="1000"/>
    <x v="17"/>
    <s v="BANDES [Banco de Desarrollo Económico y Social de Venezuela]"/>
    <x v="1"/>
    <m/>
    <x v="10"/>
    <s v="https://web.archive.org/web/20211001192959/https://armando.info/en/a-dream-deal-with-china-that-ended-in-nightmarish-debt-for-venezuela/"/>
    <s v="https://web.archive.org/web/20091215142552/https://www.chinadaily.com.cn/cndy/2009-11/17/content_8982769.htm"/>
    <m/>
  </r>
  <r>
    <s v="VE.003"/>
    <x v="12"/>
    <s v="Not specified"/>
    <n v="500"/>
    <x v="17"/>
    <s v="BANDES and PDVSA [Banco de Desarrollo Económico y Social de Venezuela and Petróleos de Venezuela]"/>
    <x v="1"/>
    <m/>
    <x v="4"/>
    <s v="http://web.archive.org/web/20210712081545/https://www.sec.gov/Archives/edgar/data/103198/000119312515333744/d83375dex99d.htm"/>
    <m/>
    <m/>
  </r>
  <r>
    <s v="VE.004"/>
    <x v="5"/>
    <s v="Trade-related credit facility"/>
    <n v="589"/>
    <x v="17"/>
    <s v="PDVSA [Petróleos de Venezuela]"/>
    <x v="1"/>
    <m/>
    <x v="0"/>
    <s v="http://web.archive.org/web/20210712081545/https://www.sec.gov/Archives/edgar/data/103198/000119312515333744/d83375dex99d.htm"/>
    <s v="https://www.investgohn.com/ueditor/jsp/upload/file/20180426/1524714075509011869.pdf"/>
    <m/>
  </r>
  <r>
    <s v="VE.005.01"/>
    <x v="5"/>
    <s v="'Gran Volumen' Long-Term Facility (USD tranche)"/>
    <n v="10000"/>
    <x v="17"/>
    <s v="National government"/>
    <x v="1"/>
    <m/>
    <x v="4"/>
    <s v="http://web.archive.org/web/20210712081545/https://www.sec.gov/Archives/edgar/data/103198/000119312515333744/d83375dex99d.htm"/>
    <m/>
    <m/>
  </r>
  <r>
    <s v="VE.005.02"/>
    <x v="5"/>
    <s v="'Gran Volumen' Long-Term Facility (RMB tranche)"/>
    <n v="10000"/>
    <x v="17"/>
    <s v="National government"/>
    <x v="1"/>
    <m/>
    <x v="4"/>
    <s v="http://web.archive.org/web/20210712081545/https://www.sec.gov/Archives/edgar/data/103198/000119312515333744/d83375dex99d.htm"/>
    <m/>
    <m/>
  </r>
  <r>
    <s v="VE.006"/>
    <x v="1"/>
    <s v="Joint Fund - Tranche A renewal first rollover"/>
    <n v="4000"/>
    <x v="17"/>
    <s v="BANDES and PDVSA [Banco de Desarrollo Económico y Social de Venezuela and Petróleos de Venezuela]"/>
    <x v="1"/>
    <m/>
    <x v="4"/>
    <s v="http://web.archive.org/web/20210712081545/https://www.sec.gov/Archives/edgar/data/103198/000119312515333744/d83375dex99d.htm"/>
    <m/>
    <m/>
  </r>
  <r>
    <s v="VE.007"/>
    <x v="6"/>
    <s v="Joint Fund - Tranche B renewal first rollover"/>
    <n v="4000"/>
    <x v="17"/>
    <s v="BANDES and PDVSA [Banco de Desarrollo Económico y Social de Venezuela and Petróleos de Venezuela]"/>
    <x v="1"/>
    <m/>
    <x v="4"/>
    <s v="http://web.archive.org/web/20210712081545/https://www.sec.gov/Archives/edgar/data/103198/000119312515333744/d83375dex99d.htm"/>
    <m/>
    <m/>
  </r>
  <r>
    <s v="VE.008"/>
    <x v="6"/>
    <s v="Purchase of oil-related products"/>
    <n v="500"/>
    <x v="17"/>
    <s v="PDVSA [Petróleos de Venezuela]"/>
    <x v="1"/>
    <m/>
    <x v="0"/>
    <s v="http://web.archive.org/web/20210712081545/https://www.sec.gov/Archives/edgar/data/103198/000119312515333744/d83375dex99d.htm"/>
    <m/>
    <m/>
  </r>
  <r>
    <s v="VE.009"/>
    <x v="3"/>
    <s v="Sinovensa production in Orinoco"/>
    <n v="4000"/>
    <x v="17"/>
    <s v="PDVSA [Petróleos de Venezuela]"/>
    <x v="1"/>
    <m/>
    <x v="0"/>
    <s v="http://web.archive.org/web/20230823155758/http://www.pdvsa.com/images/pdf/balancededeuda2016.pdf "/>
    <s v="https://web.archive.org/web/20150709122315/https://www.bloomberg.com/news/articles/2013-06-03/pdvsa-signs-4-billion-china-loan-to-boost-orinoco-field-output"/>
    <m/>
  </r>
  <r>
    <s v="VE.010"/>
    <x v="3"/>
    <s v="Pequiven marine terminal"/>
    <n v="391"/>
    <x v="17"/>
    <s v="PDVSA [Petróleos de Venezuela]"/>
    <x v="0"/>
    <m/>
    <x v="0"/>
    <s v="https://web.archive.org/web/20170801082803/https://www.mundomaritimo.cl/noticias/venezuela-suscribio-acuerdo-con-china-para-construccion-de-terminal-maritimo-de-pequiven"/>
    <s v="https://web.archive.org/web/20240307003509/https://www.asiaone.com/china-signs-12-deals-venezuela"/>
    <s v="https://drive.google.com/file/d/11hOZEnI62vp97fSi8hAXl6Gqu4QXRxl8/view?usp=drive_link "/>
  </r>
  <r>
    <s v="VE.011.01"/>
    <x v="3"/>
    <s v="Joint Fund - Tranche C"/>
    <n v="5000"/>
    <x v="17"/>
    <s v="BANDES and PDVSA [Banco de Desarrollo Económico y Social de Venezuela and Petróleos de Venezuela]"/>
    <x v="1"/>
    <m/>
    <x v="4"/>
    <s v="http://web.archive.org/web/20210712081545/https://www.sec.gov/Archives/edgar/data/103198/000119312515333744/d83375dex99d.htm"/>
    <m/>
    <m/>
  </r>
  <r>
    <s v="VE.011.02"/>
    <x v="3"/>
    <s v="Las Cristinas gold mine"/>
    <n v="700"/>
    <x v="17"/>
    <s v="National government"/>
    <x v="1"/>
    <m/>
    <x v="10"/>
    <s v="https://web.archive.org/web/20190818222518/https://www.sec.gov/Archives/edgar/data/906424/000119312516712239/d171369dex99t3e.htm"/>
    <s v="https://web.archive.org/web/20240306200224/http://www.bnamericas.com/en/news/mining/china-development-bank-to-cooperate-in-mining-las-cristinas-development"/>
    <m/>
  </r>
  <r>
    <s v="VE.012"/>
    <x v="7"/>
    <s v="Joint Fund - Tranche A renewal second rollover"/>
    <n v="4000"/>
    <x v="17"/>
    <s v="BANDES and PDVSA [Banco de Desarrollo Económico y Social de Venezuela and Petróleos de Venezuela]"/>
    <x v="0"/>
    <m/>
    <x v="4"/>
    <s v="https://web.archive.org/web/20210712081545/https://www.sec.gov/Archives/edgar/data/103198/000119312515333744/d83375dex99d.htm"/>
    <s v="https://web.archive.org/web/20140725140236/http://finance.sina.com.cn/world/20140722/164019785266.shtml"/>
    <s v="http://petroglobalnews.com/2014/07/china-extends-4-billion-credit-line-to-venezuela-for-oil/"/>
  </r>
  <r>
    <s v="VE.013"/>
    <x v="7"/>
    <s v="Working capital, PDVSA"/>
    <n v="1500"/>
    <x v="17"/>
    <s v="PDVSA [Petróleos de Venezuela]"/>
    <x v="1"/>
    <m/>
    <x v="0"/>
    <s v="https://web.archive.org/web/20170620190313/ttp://www.pdvsa.com/images/pdf/balancededeuda2016.pdf"/>
    <s v="Margaret Myers fieldwork"/>
    <m/>
  </r>
  <r>
    <s v="VE.014"/>
    <x v="10"/>
    <s v="Joint Fund - Tranche B renewal second rollover"/>
    <n v="5000"/>
    <x v="17"/>
    <s v="BANDES and PDVSA [Banco de Desarrollo Económico y Social de Venezuela and Petróleos de Venezuela]"/>
    <x v="1"/>
    <m/>
    <x v="4"/>
    <s v="https://web.archive.org/web/20171228192851/https://www.sec.gov/Archives/edgar/data/103198/000119312517376486/d505622dex99d.htm"/>
    <s v="https://web.archive.org/web/20150321033748/http://www.reuters.com/article/2015/03/19/us-venezuela-china-idUSKBN0MF2AD2015031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FAADF-098E-4C1C-B7D5-40950F273C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3" firstHeaderRow="1" firstDataRow="1" firstDataCol="1" rowPageCount="3" colPageCount="1"/>
  <pivotFields count="12">
    <pivotField showAll="0"/>
    <pivotField axis="axisRow" showAll="0">
      <items count="18">
        <item x="15"/>
        <item x="4"/>
        <item x="0"/>
        <item x="12"/>
        <item x="5"/>
        <item x="1"/>
        <item x="6"/>
        <item x="3"/>
        <item x="7"/>
        <item x="10"/>
        <item x="2"/>
        <item x="8"/>
        <item x="14"/>
        <item x="9"/>
        <item x="16"/>
        <item x="11"/>
        <item x="13"/>
        <item t="default"/>
      </items>
    </pivotField>
    <pivotField showAll="0"/>
    <pivotField dataField="1" numFmtId="43" showAll="0"/>
    <pivotField axis="axisPage" showAll="0">
      <items count="19">
        <item x="0"/>
        <item x="1"/>
        <item x="5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axis="axisPage" showAll="0">
      <items count="12">
        <item x="7"/>
        <item x="0"/>
        <item x="3"/>
        <item x="2"/>
        <item x="5"/>
        <item x="10"/>
        <item x="4"/>
        <item x="6"/>
        <item x="9"/>
        <item x="1"/>
        <item x="8"/>
        <item t="default"/>
      </items>
    </pivotField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3">
    <pageField fld="4" hier="-1"/>
    <pageField fld="6" hier="-1"/>
    <pageField fld="8" hier="-1"/>
  </pageFields>
  <dataFields count="1">
    <dataField name="Sum of Loan (USD M)" fld="3" baseField="0" baseItem="0"/>
  </dataFields>
  <formats count="24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8" count="0"/>
        </references>
      </pivotArea>
    </format>
    <format dxfId="5">
      <pivotArea field="8" type="button" dataOnly="0" labelOnly="1" outline="0" axis="axisPage" fieldPosition="2"/>
    </format>
    <format dxfId="4">
      <pivotArea dataOnly="0" labelOnly="1" outline="0" axis="axisValues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1">
            <x v="16"/>
          </reference>
        </references>
      </pivotArea>
    </format>
    <format dxfId="1">
      <pivotArea collapsedLevelsAreSubtotals="1" fieldPosition="0">
        <references count="1">
          <reference field="1" count="1">
            <x v="16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.archive.org/web/20240222025337/https:/s3.documentcloud.org/documents/20488285/guy_2016_480.pdf" TargetMode="External"/><Relationship Id="rId21" Type="http://schemas.openxmlformats.org/officeDocument/2006/relationships/hyperlink" Target="https://web.archive.org/web/20230313180953/https:/www.latinfinance.com/daily-briefs/2019/2/26/china-finances-rolling-stock-in-argentina%29" TargetMode="External"/><Relationship Id="rId42" Type="http://schemas.openxmlformats.org/officeDocument/2006/relationships/hyperlink" Target="https://web.archive.org/web/20230927200903/https:/www.reuters.com/article/petrobras-china-loan/petrobras-receives-900-mln-first-tranche-of-china-eximbank-loan-idINL2N1T12C1" TargetMode="External"/><Relationship Id="rId63" Type="http://schemas.openxmlformats.org/officeDocument/2006/relationships/hyperlink" Target="https://web.archive.org/web/20210529004549/https:/www.sakafete.com/parliament-approves-important-legislation/" TargetMode="External"/><Relationship Id="rId84" Type="http://schemas.openxmlformats.org/officeDocument/2006/relationships/hyperlink" Target="https://web.archive.org/web/20220308200856/https:/www.finanzas.gob.ec/wp-content/uploads/downloads/2015/06/Contratos-de-cr&#233;dito_mayo2015.pdf" TargetMode="External"/><Relationship Id="rId138" Type="http://schemas.openxmlformats.org/officeDocument/2006/relationships/hyperlink" Target="https://web.archive.org/web/20181105012400/http:/www.sdmo.org/images/Leningen/Leenovereenkomsten_Buitenland_2012.pdf" TargetMode="External"/><Relationship Id="rId159" Type="http://schemas.openxmlformats.org/officeDocument/2006/relationships/hyperlink" Target="https://web.archive.org/web/20181116152325/http:/servicios.infoleg.gob.ar/infolegInternet/anexos/175000-179999/178361/norma.htm" TargetMode="External"/><Relationship Id="rId170" Type="http://schemas.openxmlformats.org/officeDocument/2006/relationships/hyperlink" Target="https://web.archive.org/web/*/https:/www.sec.gov/Archives/edgar/data/1119639/000129281415001242/pbraform20f_2014.htm" TargetMode="External"/><Relationship Id="rId191" Type="http://schemas.openxmlformats.org/officeDocument/2006/relationships/hyperlink" Target="http://web.archive.org/web/20210712081545/https:/www.sec.gov/Archives/edgar/data/103198/000119312515333744/d83375dex99d.htm" TargetMode="External"/><Relationship Id="rId205" Type="http://schemas.openxmlformats.org/officeDocument/2006/relationships/hyperlink" Target="https://web.archive.org/web/20231227013340/https:/www.finanzas.gob.ec/wp-content/uploads/downloads/2013/02/DE_DIC_2011.pdf" TargetMode="External"/><Relationship Id="rId107" Type="http://schemas.openxmlformats.org/officeDocument/2006/relationships/hyperlink" Target="https://web.archive.org/save/https:/www.finanzas.gob.ec/wp-content/uploads/downloads/2020/07/Literal-l-LOTAIP-Contratos-de-cre%CC%81dito-externos-o-internos-2018-2020-MAYO.pdf" TargetMode="External"/><Relationship Id="rId11" Type="http://schemas.openxmlformats.org/officeDocument/2006/relationships/hyperlink" Target="https://web.archive.org/web/20231117144657/https:/www.argentina.gob.ar/sites/default/files/c_2023-05-08-argentina-china.pdf" TargetMode="External"/><Relationship Id="rId32" Type="http://schemas.openxmlformats.org/officeDocument/2006/relationships/hyperlink" Target="https://web.archive.org/web/20191203041906/https:/www.bcb.gob.bo/webdocs/informes_deudaexterna/Informe%20Anual%202018_14032019.pdf" TargetMode="External"/><Relationship Id="rId53" Type="http://schemas.openxmlformats.org/officeDocument/2006/relationships/hyperlink" Target="https://www.dropbox.com/s/cemcy1xv0jstun9/2008%20CDB%20Loan%20Agreement%20with%20Costa%20Rica.pdf?dl=0" TargetMode="External"/><Relationship Id="rId74" Type="http://schemas.openxmlformats.org/officeDocument/2006/relationships/hyperlink" Target="https://web.archive.org/web/20230212234741/https:/www.dusselpeters.com/130.pdf" TargetMode="External"/><Relationship Id="rId128" Type="http://schemas.openxmlformats.org/officeDocument/2006/relationships/hyperlink" Target="http://web.archive.org/web/20201128195008/https:/jis.gov.jm/china-communications-construction-company-gets-green-light/" TargetMode="External"/><Relationship Id="rId149" Type="http://schemas.openxmlformats.org/officeDocument/2006/relationships/hyperlink" Target="https://web.archive.org/web/20210915195312/https:/finance.gov.gy/wp-content/uploads/2021/05/Public-Debt-Annual-Report-2020-The-Cooperative-Republic-of-Guyana.pdf" TargetMode="External"/><Relationship Id="rId5" Type="http://schemas.openxmlformats.org/officeDocument/2006/relationships/hyperlink" Target="https://web.archive.org/web/20230124213208/https:/ab.gov.ag/pdf/budget/2022_Antigua_Estimates.pdf" TargetMode="External"/><Relationship Id="rId95" Type="http://schemas.openxmlformats.org/officeDocument/2006/relationships/hyperlink" Target="https://www.dropbox.com/s/bdxss8mioutueig/2019%20Bond%20Prospectus%20Government%20of%20Ecuador.pdf?dl=0" TargetMode="External"/><Relationship Id="rId160" Type="http://schemas.openxmlformats.org/officeDocument/2006/relationships/hyperlink" Target="https://web.archive.org/web/20230000000000*/https:/farn.org.ar/wp-content/uploads/2022/01/DOC_DEUDA_CHINA_V2.pdf" TargetMode="External"/><Relationship Id="rId181" Type="http://schemas.openxmlformats.org/officeDocument/2006/relationships/hyperlink" Target="https://web.archive.org/web/20240306222237/https:/dominicanewsonline.com/news/homepage/news/business/jamaican-ministry-endorses-china-caribbean-economic-and-trade-co-operation-forum/" TargetMode="External"/><Relationship Id="rId22" Type="http://schemas.openxmlformats.org/officeDocument/2006/relationships/hyperlink" Target="https://web.archive.org/web/20160110154414/http:/bb.chineseembassy.org/eng/sgxw/t1317289.htm" TargetMode="External"/><Relationship Id="rId43" Type="http://schemas.openxmlformats.org/officeDocument/2006/relationships/hyperlink" Target="https://web.archive.org/web/20171207040657/http:/www.ecns.cn/business/2017/12-07/283529.shtml" TargetMode="External"/><Relationship Id="rId64" Type="http://schemas.openxmlformats.org/officeDocument/2006/relationships/hyperlink" Target="https://www.finanzas.gob.ec/wp-content/uploads/downloads/2022/11/Coca-Codo-Amendment-Agreement-to-Buyer-Credit-Loan-Agreement-E_13103807_1.pdf" TargetMode="External"/><Relationship Id="rId118" Type="http://schemas.openxmlformats.org/officeDocument/2006/relationships/hyperlink" Target="https://web.archive.org/web/20220122014643/https:/finance.gov.gy/wp-content/uploads/Public-Debt-Annual-Report-2017-to-be-published-on-line.pdf" TargetMode="External"/><Relationship Id="rId139" Type="http://schemas.openxmlformats.org/officeDocument/2006/relationships/hyperlink" Target="http://web.archive.org/web/20200926024224/https:/www.sdmo.org/images/Leningen/Leenovereenkomsten_Buitenland_2016.pdf" TargetMode="External"/><Relationship Id="rId85" Type="http://schemas.openxmlformats.org/officeDocument/2006/relationships/hyperlink" Target="https://web.archive.org/web/20220308040720/https:/www.finanzas.gob.ec/wp-content/uploads/downloads/2019/03/literal-l-contrato-de-cr&#233;ditos-internos-y-externos_enero.pdf" TargetMode="External"/><Relationship Id="rId150" Type="http://schemas.openxmlformats.org/officeDocument/2006/relationships/hyperlink" Target="http://policy.mofcom.gov.cn/pact/pactContent.shtml?id=2373" TargetMode="External"/><Relationship Id="rId171" Type="http://schemas.openxmlformats.org/officeDocument/2006/relationships/hyperlink" Target="https://web.archive.org/web/20240306201051/https:/mz-filemanager.s3.amazonaws.com/25fdf098-34f5-4608-b7fa-17d60b2de47d/comunicados-ao-mercadocentral-de-downloads/3f5bd1188c20730b2ebc6390093709af2475a87fbba2edabdd9414784558a56c/clarification_on_news_conditions_of_the_loan_with_.pdf" TargetMode="External"/><Relationship Id="rId192" Type="http://schemas.openxmlformats.org/officeDocument/2006/relationships/hyperlink" Target="https://www.investgohn.com/ueditor/jsp/upload/file/20180426/1524714075509011869.pdf" TargetMode="External"/><Relationship Id="rId206" Type="http://schemas.openxmlformats.org/officeDocument/2006/relationships/hyperlink" Target="https://web.archive.org/web/20220309000758/https:/www.finanzas.gob.ec/wp-content/uploads/downloads/2020/08/1.2-Facility-Agreement-dated-27-June-2011-CDB-II.pdf" TargetMode="External"/><Relationship Id="rId12" Type="http://schemas.openxmlformats.org/officeDocument/2006/relationships/hyperlink" Target="https://www.dropbox.com/s/zk2e9olpeu4iip6/estado_contable-2.pdf?dl=0" TargetMode="External"/><Relationship Id="rId33" Type="http://schemas.openxmlformats.org/officeDocument/2006/relationships/hyperlink" Target="http://www.gacetaoficialdebolivia.gob.bo/normas/buscar/3014" TargetMode="External"/><Relationship Id="rId108" Type="http://schemas.openxmlformats.org/officeDocument/2006/relationships/hyperlink" Target="https://www.dropbox.com/s/w2xdl229uxgd93c/Cuaderno-Estad%C3%ADstico-Agosto-2022.xls?dl=0" TargetMode="External"/><Relationship Id="rId129" Type="http://schemas.openxmlformats.org/officeDocument/2006/relationships/hyperlink" Target="https://web.archive.org/web/20150928060546/https:/www.nwa.gov.jm/major-infrastructure-development-programme" TargetMode="External"/><Relationship Id="rId54" Type="http://schemas.openxmlformats.org/officeDocument/2006/relationships/hyperlink" Target="https://web.archive.org/web/20210816165712/http:/www.pgrweb.go.cr/scij/Busqueda/Normativa/Normas/nrm_texto_completo.aspx?param1=NRTC&amp;param2=1&amp;nValor1=1&amp;nValor2=79369&amp;nValor3=100344&amp;strTipM=TC&amp;lResultado=3&amp;nValor4=1&amp;strSelect=sel" TargetMode="External"/><Relationship Id="rId75" Type="http://schemas.openxmlformats.org/officeDocument/2006/relationships/hyperlink" Target="https://web.archive.org/web/20240211021622/https:/www.celec.gob.ec/images/pdf/pai-2012.pdf" TargetMode="External"/><Relationship Id="rId96" Type="http://schemas.openxmlformats.org/officeDocument/2006/relationships/hyperlink" Target="https://web.archive.org/web/20220302164005/https:/www.finanzas.gob.ec/wp-content/uploads/downloads/2020/07/Literal-l-LOTAIP-Contratos-de-cr&#233;dito-externos-o-internos-2018-2020-MAYO.pdf" TargetMode="External"/><Relationship Id="rId140" Type="http://schemas.openxmlformats.org/officeDocument/2006/relationships/hyperlink" Target="https://web.archive.org/web/20191213205253/http:/www.xinhuanet.com/money/2019-11/29/c_1210375140.htm" TargetMode="External"/><Relationship Id="rId161" Type="http://schemas.openxmlformats.org/officeDocument/2006/relationships/hyperlink" Target="https://drive.google.com/file/d/1--m1FL9MCWJysNUxSzZns7D3s1t9p6jp/view" TargetMode="External"/><Relationship Id="rId182" Type="http://schemas.openxmlformats.org/officeDocument/2006/relationships/hyperlink" Target="https://web.archive.org/web/20130611075251/http:/www.rigzone.com/news/oil_gas/a/126927/Pemex_China_Make_Landmark_Deal" TargetMode="External"/><Relationship Id="rId6" Type="http://schemas.openxmlformats.org/officeDocument/2006/relationships/hyperlink" Target="https://www.dropbox.com/s/zk2e9olpeu4iip6/estado_contable-2.pdf?dl=0" TargetMode="External"/><Relationship Id="rId23" Type="http://schemas.openxmlformats.org/officeDocument/2006/relationships/hyperlink" Target="https://www.dropbox.com/s/nw8ge8mumtsxq9r/2014%20China%20Exim-Barbados%20Loan%20Agreement%20for%20Sam%20Lord%27s%20Hotel%20Project.pdf?dl=0" TargetMode="External"/><Relationship Id="rId119" Type="http://schemas.openxmlformats.org/officeDocument/2006/relationships/hyperlink" Target="https://web.archive.org/web/20220623045401/https:/parliament.gov.gy/documents/hansards/99th_sitting_-_eleventh_parliament.pdf" TargetMode="External"/><Relationship Id="rId44" Type="http://schemas.openxmlformats.org/officeDocument/2006/relationships/hyperlink" Target="https://web.archive.org/web/20170101083547/https:/petrobras.com.br/fatos-e-dados/recebemos-us-5-bilhoes-do-china-development-bank.htm" TargetMode="External"/><Relationship Id="rId65" Type="http://schemas.openxmlformats.org/officeDocument/2006/relationships/hyperlink" Target="https://web.archive.org/web/20161117190154/http:/www.planv.com.ec/investigacion/investigacion/coca-codo-la-joya-la-corona-se-inaugura-con-sobrecostos-y-largos" TargetMode="External"/><Relationship Id="rId86" Type="http://schemas.openxmlformats.org/officeDocument/2006/relationships/hyperlink" Target="https://www.finanzas.gob.ec/wpcontent/uploads/downloads/2022/11/500KvTransmission-Amendment-Agreement-to-Buyer-Credit-Loan-Agr_13103773_1.pdf;http:/www.laht.com/article.aspArticleId=2358699&amp;CategoryId=14089;http:/www.eximbank.gov.cn/tm/Newlist/index_343_26785.html" TargetMode="External"/><Relationship Id="rId130" Type="http://schemas.openxmlformats.org/officeDocument/2006/relationships/hyperlink" Target="https://web.archive.org/web/20160619042156/http:/news.xinhuanet.com/english/2016-06/17/c_135445559.htm" TargetMode="External"/><Relationship Id="rId151" Type="http://schemas.openxmlformats.org/officeDocument/2006/relationships/hyperlink" Target="http://web.archive.org/web/20210712081545/https:/www.sec.gov/Archives/edgar/data/103198/000119312515333744/d83375dex99d.htm" TargetMode="External"/><Relationship Id="rId172" Type="http://schemas.openxmlformats.org/officeDocument/2006/relationships/hyperlink" Target="https://web.archive.org/web/20221006063450/http:/www.petrobras.com.br/fatos-e-dados/assinamos-acordo-de-financiamento-de-us-5-bilhoes-com-banco-de-desenvolvimento-da-china.htm" TargetMode="External"/><Relationship Id="rId193" Type="http://schemas.openxmlformats.org/officeDocument/2006/relationships/hyperlink" Target="http://web.archive.org/web/20210712081545/https:/www.sec.gov/Archives/edgar/data/103198/000119312515333744/d83375dex99d.htm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s://web.archive.org/web/20240306203536/https:/s3.documentcloud.org/documents/20484849/arg_2014_435.pdf" TargetMode="External"/><Relationship Id="rId109" Type="http://schemas.openxmlformats.org/officeDocument/2006/relationships/hyperlink" Target="https://web.archive.org/web/20230315142304/https:/www.fmprc.gov.cn/eng/wjb_663304/zwjg_665342/zwbd_665378/202010/t20201030_629541.html" TargetMode="External"/><Relationship Id="rId34" Type="http://schemas.openxmlformats.org/officeDocument/2006/relationships/hyperlink" Target="https://web.archive.org/web/20221124152114/https:/www.bcb.gob.bo/webdocs/informes_deudaexterna/IDPE%2021.pdf" TargetMode="External"/><Relationship Id="rId55" Type="http://schemas.openxmlformats.org/officeDocument/2006/relationships/hyperlink" Target="https://web.archive.org/web/20150225011517/http:/www.ticotimes.net/2015/02/23/lawmakers-approve-chinese-loan-for-expanding-route-32-to-the-caribbean" TargetMode="External"/><Relationship Id="rId76" Type="http://schemas.openxmlformats.org/officeDocument/2006/relationships/hyperlink" Target="http://web.archive.org/web/20110809095433/http:/andes.info.ec/economia/usd-2-000-millones-de-credito-chino-seran-para-financiar-proyectos-hidroelectricos-y-de-riego-72135.html" TargetMode="External"/><Relationship Id="rId97" Type="http://schemas.openxmlformats.org/officeDocument/2006/relationships/hyperlink" Target="https://www.dropbox.com/s/bdxss8mioutueig/2019%20Bond%20Prospectus%20Government%20of%20Ecuador.pdf?dl=0" TargetMode="External"/><Relationship Id="rId120" Type="http://schemas.openxmlformats.org/officeDocument/2006/relationships/hyperlink" Target="https://web.archive.org/web/20221124020122/https:/finance.gov.gy/wp-content/uploads/2021/05/Public-Debt-Annual-Report-2020-The-Cooperative-Republic-of-Guyana.pdf" TargetMode="External"/><Relationship Id="rId141" Type="http://schemas.openxmlformats.org/officeDocument/2006/relationships/hyperlink" Target="https://web.archive.org/web/20200926024358/https:/www.sdmo.org/images/Leningen/foreign_loan_agreements_2019.pdf" TargetMode="External"/><Relationship Id="rId7" Type="http://schemas.openxmlformats.org/officeDocument/2006/relationships/hyperlink" Target="https://web.archive.org/web/20231117144657/https:/www.argentina.gob.ar/sites/default/files/c_2023-05-08-argentina-china.pdf" TargetMode="External"/><Relationship Id="rId162" Type="http://schemas.openxmlformats.org/officeDocument/2006/relationships/hyperlink" Target="https://web.archive.org/web/20220709192542/https:/www.argentina.gob.ar/sites/default/files/memoria_de_gestion_2015-2019_0.pdf" TargetMode="External"/><Relationship Id="rId183" Type="http://schemas.openxmlformats.org/officeDocument/2006/relationships/hyperlink" Target="https://web.archive.org/web/20240306223215/https:/www.bnamericas.com/en/news/CDB_will_lend_Cofide_up_to_US%2A50mn" TargetMode="External"/><Relationship Id="rId24" Type="http://schemas.openxmlformats.org/officeDocument/2006/relationships/hyperlink" Target="https://web.archive.org/web/20191203041906/https:/www.bcb.gob.bo/webdocs/informes_deudaexterna/Informe%20Anual%202018_14032019.pdf" TargetMode="External"/><Relationship Id="rId40" Type="http://schemas.openxmlformats.org/officeDocument/2006/relationships/hyperlink" Target="https://web.archive.org/web/20231115211323/https:/www.semadesc.ms.gov.br/apos-anuncio-de-investimento-e-us-12-bilhao-maracaju-prepara-se-para-transformacao/" TargetMode="External"/><Relationship Id="rId45" Type="http://schemas.openxmlformats.org/officeDocument/2006/relationships/hyperlink" Target="https://web.archive.org/web/20230315144737/http:/english.eximbank.gov.cn/News/NewsR/201807/t20180730_6762.html" TargetMode="External"/><Relationship Id="rId66" Type="http://schemas.openxmlformats.org/officeDocument/2006/relationships/hyperlink" Target="https://web.archive.org/web/20221230141449/https:/www.finanzas.gob.ec/wp-content/uploads/downloads/2020/08/1.2-Facility-Agreement-CDB-I.pdf" TargetMode="External"/><Relationship Id="rId87" Type="http://schemas.openxmlformats.org/officeDocument/2006/relationships/hyperlink" Target="https://www.dropbox.com/s/npl1draoc4oghzu/2016%20China%20Eximbank%20Loan%20for%20Santa%20Elene%20Aqueduct%20Hydraulic%20Plan%20Stage%20One%20Project.pdf?dl=0" TargetMode="External"/><Relationship Id="rId110" Type="http://schemas.openxmlformats.org/officeDocument/2006/relationships/hyperlink" Target="https://web.archive.org/web/20210526220528/https:/www.nationnews.com/2021/05/26/grenada-receiving-funds-china-airport-development/" TargetMode="External"/><Relationship Id="rId115" Type="http://schemas.openxmlformats.org/officeDocument/2006/relationships/hyperlink" Target="https://web.archive.org/web/20240306215715/https:/parliament.gov.gy/documents/order-papers/615-29th_order_paper.pdf" TargetMode="External"/><Relationship Id="rId131" Type="http://schemas.openxmlformats.org/officeDocument/2006/relationships/hyperlink" Target="https://web.archive.org/web/20170217002322/https:/jamaica-gleaner.com/article/business/20170216/shaw-signs-us326m-loan-agreement-southern-highway-extension-toll-road" TargetMode="External"/><Relationship Id="rId136" Type="http://schemas.openxmlformats.org/officeDocument/2006/relationships/hyperlink" Target="https://drive.google.com/file/d/1jzP0IBer7aO2gFatFpDynMcX2x_Zd9a8/view?usp=drive_link" TargetMode="External"/><Relationship Id="rId157" Type="http://schemas.openxmlformats.org/officeDocument/2006/relationships/hyperlink" Target="https://web.archive.org/web/20150321033748/http:/www.reuters.com/article/2015/03/19/us-venezuela-china-idUSKBN0MF2AD20150319" TargetMode="External"/><Relationship Id="rId178" Type="http://schemas.openxmlformats.org/officeDocument/2006/relationships/hyperlink" Target="https://web.archive.org/web/20220302163732/https:/www.finanzas.gob.ec/wp-content/uploads/downloads/2020/08/1.1-Four-Party-Agreement-dated-27-June-2011-CDB-II.pdf" TargetMode="External"/><Relationship Id="rId61" Type="http://schemas.openxmlformats.org/officeDocument/2006/relationships/hyperlink" Target="https://web.archive.org/web/20190606032740/https:/www.mitrans.gob.cu/es/noticias/diputados-cubanos-analizan-situacion-del-transporte-ferroviario-en-el-pais" TargetMode="External"/><Relationship Id="rId82" Type="http://schemas.openxmlformats.org/officeDocument/2006/relationships/hyperlink" Target="https://web.archive.org/web/20240306214942/https:/www.epmmop.gob.ec/epmmop/images/stories/lotaip/2011/dmdocuments/contrato_prolongacion_simon.pdf" TargetMode="External"/><Relationship Id="rId152" Type="http://schemas.openxmlformats.org/officeDocument/2006/relationships/hyperlink" Target="http://web.archive.org/web/20210712081545/https:/www.sec.gov/Archives/edgar/data/103198/000119312515333744/d83375dex99d.htm" TargetMode="External"/><Relationship Id="rId173" Type="http://schemas.openxmlformats.org/officeDocument/2006/relationships/hyperlink" Target="https://web.archive.org/web/20220322181929/https:/api.mziq.com/mzfilemanager/v2/d/25fdf098-34f5-4608-b7fa-17d60b2de47d/6fd83f76-d750-6e00-ee69-6241492f2ae9?origin=1" TargetMode="External"/><Relationship Id="rId194" Type="http://schemas.openxmlformats.org/officeDocument/2006/relationships/hyperlink" Target="http://web.archive.org/web/20210712081545/https:/www.sec.gov/Archives/edgar/data/103198/000119312515333744/d83375dex99d.htm" TargetMode="External"/><Relationship Id="rId199" Type="http://schemas.openxmlformats.org/officeDocument/2006/relationships/hyperlink" Target="https://web.archive.org/web/20210712081545/https:/www.sec.gov/Archives/edgar/data/103198/000119312515333744/d83375dex99d.htm" TargetMode="External"/><Relationship Id="rId203" Type="http://schemas.openxmlformats.org/officeDocument/2006/relationships/hyperlink" Target="https://web.archive.org/web/20180508061352/https:/servicios.infoleg.gob.ar/infolegInternet/anexos/295000-299999/296848/dec987-II.pdf" TargetMode="External"/><Relationship Id="rId19" Type="http://schemas.openxmlformats.org/officeDocument/2006/relationships/hyperlink" Target="https://web.archive.org/web/20181201122452/http:/www.chinanews.com/cj/2018/11-30/8689718.shtml" TargetMode="External"/><Relationship Id="rId14" Type="http://schemas.openxmlformats.org/officeDocument/2006/relationships/hyperlink" Target="https://web.archive.org/web/20151124023558/http:/cn.wsj.com/gb/20140721/bam095250.asp" TargetMode="External"/><Relationship Id="rId30" Type="http://schemas.openxmlformats.org/officeDocument/2006/relationships/hyperlink" Target="https://web.archive.org/web/20191203041906/https:/www.bcb.gob.bo/webdocs/informes_deudaexterna/Informe%20Anual%202018_14032019.pdf" TargetMode="External"/><Relationship Id="rId35" Type="http://schemas.openxmlformats.org/officeDocument/2006/relationships/hyperlink" Target="https://web.archive.org/web/20191203041906/https:/www.bcb.gob.bo/webdocs/informes_deudaexterna/Informe%20Anual%202018_14032019.pdf" TargetMode="External"/><Relationship Id="rId56" Type="http://schemas.openxmlformats.org/officeDocument/2006/relationships/hyperlink" Target="https://web.archive.org/web/20210816165712/http:/www.pgrweb.go.cr/scij/Busqueda/Normativa/Normas/nrm_texto_completo.aspx?param1=NRTC&amp;param2=1&amp;nValor1=1&amp;nValor2=79369&amp;nValor3=100344&amp;strTipM=TC&amp;lResultado=3&amp;nValor4=1&amp;strSelect=sel" TargetMode="External"/><Relationship Id="rId77" Type="http://schemas.openxmlformats.org/officeDocument/2006/relationships/hyperlink" Target="https://web.archive.org/web/20220302163732/https:/www.finanzas.gob.ec/wp-content/uploads/downloads/2020/08/1.1-Four-Party-Agreement-dated-27-June-2011-CDB-II.pdf" TargetMode="External"/><Relationship Id="rId100" Type="http://schemas.openxmlformats.org/officeDocument/2006/relationships/hyperlink" Target="https://web.archive.org/web/20220302062845/https:/www.obraspublicas.gob.ec/wp-content/uploads/downloads/2020/02/LOTAIP_1_PAI-corte-31-de-ENERO-2020.pdf" TargetMode="External"/><Relationship Id="rId105" Type="http://schemas.openxmlformats.org/officeDocument/2006/relationships/hyperlink" Target="https://web.archive.org/save/https:/www.finanzas.gob.ec/wp-content/uploads/downloads/2020/07/Literal-l-LOTAIP-Contratos-de-cre%CC%81dito-externos-o-internos-2018-2020-MAYO.pdf" TargetMode="External"/><Relationship Id="rId126" Type="http://schemas.openxmlformats.org/officeDocument/2006/relationships/hyperlink" Target="https://www.nwa.gov.jm/major-project/palisadoes-peninsula-shoreline-protection-and-rehabilitation" TargetMode="External"/><Relationship Id="rId147" Type="http://schemas.openxmlformats.org/officeDocument/2006/relationships/hyperlink" Target="http://web.archive.org/web/20130319235005/http:/www.newsday.co.tt/news/0,174909.html" TargetMode="External"/><Relationship Id="rId168" Type="http://schemas.openxmlformats.org/officeDocument/2006/relationships/hyperlink" Target="https://web.archive.org/web/20191203041906/https:/www.bcb.gob.bo/webdocs/informes_deudaexterna/Informe%20Anual%202018_14032019.pdf" TargetMode="External"/><Relationship Id="rId8" Type="http://schemas.openxmlformats.org/officeDocument/2006/relationships/hyperlink" Target="https://web.archive.org/web/20240306202404/http:/www.infobae.com/2010/12/02/550087-el-banco-inversion-y-comercio-exterior-busca-consolidar-relacion-china" TargetMode="External"/><Relationship Id="rId51" Type="http://schemas.openxmlformats.org/officeDocument/2006/relationships/hyperlink" Target="http://bs.china-embassy.org/chn/sbgx/t804245.htm" TargetMode="External"/><Relationship Id="rId72" Type="http://schemas.openxmlformats.org/officeDocument/2006/relationships/hyperlink" Target="https://www.finanzas.gob.ec/wp-content/uploads/downloads/2020/08/1.2-Facility-Agreement-dated-27-June-2011-CDB-II.pdf;" TargetMode="External"/><Relationship Id="rId93" Type="http://schemas.openxmlformats.org/officeDocument/2006/relationships/hyperlink" Target="https://bde.fin.ec/el-bde-firmara-un-credito-de-financiamiento-con-el-banco-de-desarrollo-de-china/" TargetMode="External"/><Relationship Id="rId98" Type="http://schemas.openxmlformats.org/officeDocument/2006/relationships/hyperlink" Target="https://web.archive.org/web/20220302164005/https:/www.finanzas.gob.ec/wp-content/uploads/downloads/2020/07/Literal-l-LOTAIP-Contratos-de-cr&#233;dito-externos-o-internos-2018-2020-MAYO.pdf" TargetMode="External"/><Relationship Id="rId121" Type="http://schemas.openxmlformats.org/officeDocument/2006/relationships/hyperlink" Target="https://web.archive.org/web/20221230230051/https:/dpi.gov.gy/us192-million-phase-2-east-coast-road-project-to-commence-under-governments-expansive-aggressive-transport-infrastructure-initiative/" TargetMode="External"/><Relationship Id="rId142" Type="http://schemas.openxmlformats.org/officeDocument/2006/relationships/hyperlink" Target="https://www.dropbox.com/s/sptor0fju165k3j/392125621-GovernmentConcessional-Loan-PreferentialBuyer-sCredit-Brochure-pdf.pdf?dl=0" TargetMode="External"/><Relationship Id="rId163" Type="http://schemas.openxmlformats.org/officeDocument/2006/relationships/hyperlink" Target="https://web.archive.org/save/https:/www.bahamaslocal.com/newsitem/39422/Bahamas_China_Sign_40M_Loan_Agreement_for_Abaco_Infrastructural_Works.html" TargetMode="External"/><Relationship Id="rId184" Type="http://schemas.openxmlformats.org/officeDocument/2006/relationships/hyperlink" Target="https://web.archive.org/web/20240306223545/https:/www.la-razon.com/economia/2012/07/24/choferes-pagaran-credito-chino-a-traves-de-un-chip-que-retendra-un-porcentaje-por-el-consumo-de-gnv/" TargetMode="External"/><Relationship Id="rId189" Type="http://schemas.openxmlformats.org/officeDocument/2006/relationships/hyperlink" Target="https://web.archive.org/web/20210511172306/https:/newsday.co.tt/2021/05/11/trinidad-and-tobago-to-take-chinese-loan-to-buy-chinese-vaccines/" TargetMode="External"/><Relationship Id="rId3" Type="http://schemas.openxmlformats.org/officeDocument/2006/relationships/hyperlink" Target="https://web.archive.org/web/20201127204710/https:/audit.gov.ag/assets/uploads/docs/reports_publications/509a8-final-debt-audit-report-2014.pdf" TargetMode="External"/><Relationship Id="rId25" Type="http://schemas.openxmlformats.org/officeDocument/2006/relationships/hyperlink" Target="https://www.bcb.gob.bo/webdocs/informes_deudaexterna/Informe_Anual_2019_24012020_final.pdf" TargetMode="External"/><Relationship Id="rId46" Type="http://schemas.openxmlformats.org/officeDocument/2006/relationships/hyperlink" Target="https://web.archive.org/web/20240229233248/https:/api.mziq.com/mzfilemanager/v2/d/5760dff3-15e1-4962-9e81-322a0b3d0bbd/09955da0-2b96-56cb-71c5-190ec64b5fb2?origin=1" TargetMode="External"/><Relationship Id="rId67" Type="http://schemas.openxmlformats.org/officeDocument/2006/relationships/hyperlink" Target="https://web.archive.org/web/20221230141520/https:/www.finanzas.gob.ec/wp-content/uploads/downloads/2020/08/1.1-Four-Party-Agreement-CDB-I.pdf" TargetMode="External"/><Relationship Id="rId116" Type="http://schemas.openxmlformats.org/officeDocument/2006/relationships/hyperlink" Target="http://web.archive.org/web/20231104233928/https:/mopw.gov.gy/posts/us59m-approved-cjia-modernisation-project" TargetMode="External"/><Relationship Id="rId137" Type="http://schemas.openxmlformats.org/officeDocument/2006/relationships/hyperlink" Target="https://web.archive.org/web/20150712202135/https:/www.chinadaily.com.cn/business/2015-03/31/content_19958462.htm" TargetMode="External"/><Relationship Id="rId158" Type="http://schemas.openxmlformats.org/officeDocument/2006/relationships/hyperlink" Target="http://www.eximbank.gov.cn/aboutExim/annals/2021_877/202306/U020230609413828602225.pdf" TargetMode="External"/><Relationship Id="rId20" Type="http://schemas.openxmlformats.org/officeDocument/2006/relationships/hyperlink" Target="https://web.archive.org/web/20230313180752/https:/www.boletinoficial.gob.ar/detalleAviso/primera/202293/20190225" TargetMode="External"/><Relationship Id="rId41" Type="http://schemas.openxmlformats.org/officeDocument/2006/relationships/hyperlink" Target="https://web.archive.org/web/20221013181426/https:/www.sec.gov/Archives/edgar/data/1119639/000119312519093231/d692671d20f.htm" TargetMode="External"/><Relationship Id="rId62" Type="http://schemas.openxmlformats.org/officeDocument/2006/relationships/hyperlink" Target="https://web.archive.org/web/20230315142607/http:/www.gov.cn/xinwen/2019-11/01/content_5447313.htm" TargetMode="External"/><Relationship Id="rId83" Type="http://schemas.openxmlformats.org/officeDocument/2006/relationships/hyperlink" Target="https://web.archive.org/web/20130706070351/http:/www.finanzas.gob.ec/wp-content/uploads/downloads/2013/02/003-22febrero2013.pdf" TargetMode="External"/><Relationship Id="rId88" Type="http://schemas.openxmlformats.org/officeDocument/2006/relationships/hyperlink" Target="https://web.archive.org/web/*/https:/www.finanzas.gob.ec/wp-content/uploads/downloads/2016/12/DE_NOVIEMBRE-2016.pdf" TargetMode="External"/><Relationship Id="rId111" Type="http://schemas.openxmlformats.org/officeDocument/2006/relationships/hyperlink" Target="https://web.archive.org/web/20240229192757/http:/news.sina.com.cn/c/2004-12-14/14024520537s.shtml" TargetMode="External"/><Relationship Id="rId132" Type="http://schemas.openxmlformats.org/officeDocument/2006/relationships/hyperlink" Target="https://web.archive.org/web/20200222104819/http:/en.people.cn/n3/2017/0223/c90000-9181728.html" TargetMode="External"/><Relationship Id="rId153" Type="http://schemas.openxmlformats.org/officeDocument/2006/relationships/hyperlink" Target="http://web.archive.org/web/20210712081545/https:/www.sec.gov/Archives/edgar/data/103198/000119312515333744/d83375dex99d.htm" TargetMode="External"/><Relationship Id="rId174" Type="http://schemas.openxmlformats.org/officeDocument/2006/relationships/hyperlink" Target="https://web.archive.org/web/20220216190305/https:/br.lexlatin.com/noticias/banco-do-brasil-recebe-emprestimo-do-banco-de-desenvolvimento-da-china" TargetMode="External"/><Relationship Id="rId179" Type="http://schemas.openxmlformats.org/officeDocument/2006/relationships/hyperlink" Target="https://web.archive.org/web/20220712222149/https:/finance.gov.gy/wp-content/uploads/2021/01/volume_3_2011.pdf" TargetMode="External"/><Relationship Id="rId195" Type="http://schemas.openxmlformats.org/officeDocument/2006/relationships/hyperlink" Target="http://web.archive.org/web/20210712081545/https:/www.sec.gov/Archives/edgar/data/103198/000119312515333744/d83375dex99d.htm" TargetMode="External"/><Relationship Id="rId190" Type="http://schemas.openxmlformats.org/officeDocument/2006/relationships/hyperlink" Target="http://www.ministeriopublico.gob.ve/c/document_library/get_file?p_l_id=40497&amp;folderId=67170&amp;name=DLFE-2069.pdf" TargetMode="External"/><Relationship Id="rId204" Type="http://schemas.openxmlformats.org/officeDocument/2006/relationships/hyperlink" Target="http://web.archive.org/web/20220306105147/https:/www.sec.gov/Archives/edgar/data/1119639/000129281407003654/pbra20071227_6k.htm" TargetMode="External"/><Relationship Id="rId15" Type="http://schemas.openxmlformats.org/officeDocument/2006/relationships/hyperlink" Target="https://www.dropbox.com/sh/mqdfbbgsz3lhwiv/AABWLD-M2K80Os4jDs7QScP2a/US%24161%2C500%2C000%20Buyer%20Credit%20Loan%20Agreement%20with%20Subterraneos%20de%20Buenos%20Aires%202014.pdf?dl=02." TargetMode="External"/><Relationship Id="rId36" Type="http://schemas.openxmlformats.org/officeDocument/2006/relationships/hyperlink" Target="https://web.archive.org/web/20171104190609/https:/www.lexivox.org/norms/BO-DS-N2646.html" TargetMode="External"/><Relationship Id="rId57" Type="http://schemas.openxmlformats.org/officeDocument/2006/relationships/hyperlink" Target="https://web.archive.org/web/20231020015357/http:/www.mofcom.gov.cn/dl/gbdqzn/upload/gesidalijia.pdf" TargetMode="External"/><Relationship Id="rId106" Type="http://schemas.openxmlformats.org/officeDocument/2006/relationships/hyperlink" Target="https://www.dropbox.com/s/w2xdl229uxgd93c/Cuaderno-Estad%C3%ADstico-Agosto-2022.xls?dl=0" TargetMode="External"/><Relationship Id="rId127" Type="http://schemas.openxmlformats.org/officeDocument/2006/relationships/hyperlink" Target="http://web.archive.org/web/20221223143004/https:/auditorgeneral.gov.jm/wp-content/uploads/2016/09/JDIP_Special_Audit_Report.pdf" TargetMode="External"/><Relationship Id="rId10" Type="http://schemas.openxmlformats.org/officeDocument/2006/relationships/hyperlink" Target="https://web.archive.org/web/20240306203121/https:/www.gov.cn/jrzg/2012-03/15/content_2092419.htm" TargetMode="External"/><Relationship Id="rId31" Type="http://schemas.openxmlformats.org/officeDocument/2006/relationships/hyperlink" Target="https://web.archive.org/web/20220127145323/https:/quepasamedia.com/noticias/mundo/sudamerica/eximbank-de-china-financia-con-un-credito-de-253-millones-carretera/" TargetMode="External"/><Relationship Id="rId52" Type="http://schemas.openxmlformats.org/officeDocument/2006/relationships/hyperlink" Target="https://web.archive.org/web/20240221223857/http:/bf.mofcom.gov.cn/article/todayheader/201312/20131200442873.shtml" TargetMode="External"/><Relationship Id="rId73" Type="http://schemas.openxmlformats.org/officeDocument/2006/relationships/hyperlink" Target="https://www.finanzas.gob.ec/wp-content/uploads/downloads/2020/08/1.1-Four-Party-Agreement-dated-27-June-2011-CDB-II.pdf" TargetMode="External"/><Relationship Id="rId78" Type="http://schemas.openxmlformats.org/officeDocument/2006/relationships/hyperlink" Target="https://web.archive.org/web/20221230141337/https:/www.finanzas.gob.ec/wp-content/uploads/downloads/2020/08/1.2-Facility-Agreement-dated-27-June-2011-CDB-II.pdf" TargetMode="External"/><Relationship Id="rId94" Type="http://schemas.openxmlformats.org/officeDocument/2006/relationships/hyperlink" Target="https://web.archive.org/web/20180222062123/https:/www.finanzas.gob.ec/wp-content/uploads/downloads/2017/12/DE_NOVIEMBRE-2017.pdf" TargetMode="External"/><Relationship Id="rId99" Type="http://schemas.openxmlformats.org/officeDocument/2006/relationships/hyperlink" Target="https://web.archive.org/web/20240211020002/https:/www.obraspublicas.gob.ec/en-guaranda-se-inicia-la-construccion-de-su-emblematico-paso-lateral/" TargetMode="External"/><Relationship Id="rId101" Type="http://schemas.openxmlformats.org/officeDocument/2006/relationships/hyperlink" Target="https://web.archive.org/web/20221230140859/https:/www.finanzas.gob.ec/wp-content/uploads/downloads/2022/11/Amendment-Agreement-No.-2-to-Phase-V-Facility-Agreement-Executed.pdf" TargetMode="External"/><Relationship Id="rId122" Type="http://schemas.openxmlformats.org/officeDocument/2006/relationships/hyperlink" Target="https://www.mfa.gov.cn/eng/wjb_663304/zwjg_665342/zwbd_665378/200511/t20051116_601504.html" TargetMode="External"/><Relationship Id="rId143" Type="http://schemas.openxmlformats.org/officeDocument/2006/relationships/hyperlink" Target="https://web.archive.org/web/20220619200446/https:/www.auditorgeneral.gov.tt/sites/default/files/Vol%20%201%20-%20Treasury%20Statements%202011.pdf" TargetMode="External"/><Relationship Id="rId148" Type="http://schemas.openxmlformats.org/officeDocument/2006/relationships/hyperlink" Target="https://web.archive.org/web/20220619192730/https:/auditorgeneral.gov.tt/sites/default/files/VOL-I-Accounts-of-the-Treasury.pdf" TargetMode="External"/><Relationship Id="rId164" Type="http://schemas.openxmlformats.org/officeDocument/2006/relationships/hyperlink" Target="https://web.archive.org/web/20220626180335/https:/www.barbadosparliament.com/uploads/bill_resolution/9428c1bf3f10d56aa212ccd3d2130582.pdf" TargetMode="External"/><Relationship Id="rId169" Type="http://schemas.openxmlformats.org/officeDocument/2006/relationships/hyperlink" Target="https://web.archive.org/web/*/https:/www.sec.gov/Archives/edgar/data/1119639/000129281410001665/pbraform20f2009.htm" TargetMode="External"/><Relationship Id="rId185" Type="http://schemas.openxmlformats.org/officeDocument/2006/relationships/hyperlink" Target="https://web.archive.org/web/20240307000224/http:/www.dna.sr/media/145186/_JAARREDE_van_de_PRESIDENT_over_het_dienstjaar_2017.pdf" TargetMode="External"/><Relationship Id="rId4" Type="http://schemas.openxmlformats.org/officeDocument/2006/relationships/hyperlink" Target="https://web.archive.org/web/20181113153629/https:/ab.gov.ag/pdf/budget/2017_Antigua_Estimates.pdf" TargetMode="External"/><Relationship Id="rId9" Type="http://schemas.openxmlformats.org/officeDocument/2006/relationships/hyperlink" Target="https://web.archive.org/web/20231117144657/https:/www.argentina.gob.ar/sites/default/files/c_2023-05-08-argentina-china.pdf" TargetMode="External"/><Relationship Id="rId180" Type="http://schemas.openxmlformats.org/officeDocument/2006/relationships/hyperlink" Target="https://web.archive.org/web/20180103072306/https:/jamaica-gleaner.com/article/lead-stories/20180103/taxpayers-carrying-trelawny-stadiums-multimillion-dollar-load" TargetMode="External"/><Relationship Id="rId26" Type="http://schemas.openxmlformats.org/officeDocument/2006/relationships/hyperlink" Target="https://web.archive.org/web/20191203044949/https:/www.bcb.gob.bo/webdocs/publicacionesbcb/gestion2010_anexos.pdf" TargetMode="External"/><Relationship Id="rId47" Type="http://schemas.openxmlformats.org/officeDocument/2006/relationships/hyperlink" Target="https://web.archive.org/web/20230124233414/https:/www.sec.gov/Archives/edgar/data/1119639/000129281421001152/pbraform20f_2020.htm" TargetMode="External"/><Relationship Id="rId68" Type="http://schemas.openxmlformats.org/officeDocument/2006/relationships/hyperlink" Target="https://web.archive.org/web/20240211021622/https:/www.celec.gob.ec/images/pdf/pai-2012.pdf" TargetMode="External"/><Relationship Id="rId89" Type="http://schemas.openxmlformats.org/officeDocument/2006/relationships/hyperlink" Target="https://drive.google.com/file/d/1b_uoNndTFao6uAuX44erBb4HTG1kZgUx/view?usp=drive_link" TargetMode="External"/><Relationship Id="rId112" Type="http://schemas.openxmlformats.org/officeDocument/2006/relationships/hyperlink" Target="https://web.archive.org/web/20221124020122/https:/finance.gov.gy/wp-content/uploads/2021/05/Public-Debt-Annual-Report-2020-The-Cooperative-Republic-of-Guyana.pdf" TargetMode="External"/><Relationship Id="rId133" Type="http://schemas.openxmlformats.org/officeDocument/2006/relationships/hyperlink" Target="https://web.archive.org/web/20230208123724/https:/opm.gov.jm/news/prime-minister-andrew-holness-urges-patience-as-intensive-work-on-the-st-thomas-leg-of-the-southern-coastal-highway-improvement-project-continues/" TargetMode="External"/><Relationship Id="rId154" Type="http://schemas.openxmlformats.org/officeDocument/2006/relationships/hyperlink" Target="http://web.archive.org/web/20230823155758/http:/www.pdvsa.com/images/pdf/balancededeuda2016.pdf" TargetMode="External"/><Relationship Id="rId175" Type="http://schemas.openxmlformats.org/officeDocument/2006/relationships/hyperlink" Target="https://web.archive.org/web/20220127163240/https:/www.shearman.com/news-and-events/news/2022/01/banco-do-brasil-raises-500m-in-term-loan-facility-with-china-development-bank" TargetMode="External"/><Relationship Id="rId196" Type="http://schemas.openxmlformats.org/officeDocument/2006/relationships/hyperlink" Target="https://web.archive.org/web/20240306200224/http:/www.bnamericas.com/en/news/mining/china-development-bank-to-cooperate-in-mining-las-cristinas-development" TargetMode="External"/><Relationship Id="rId200" Type="http://schemas.openxmlformats.org/officeDocument/2006/relationships/hyperlink" Target="https://web.archive.org/web/20140725140236/http:/finance.sina.com.cn/world/20140722/164019785266.shtml" TargetMode="External"/><Relationship Id="rId16" Type="http://schemas.openxmlformats.org/officeDocument/2006/relationships/hyperlink" Target="http://www.notitrans.com.ar/nota/128543/-subte-la-ciudad-obtuvo-un-prestamo-para-comprar-vagones-para-la-linea-a" TargetMode="External"/><Relationship Id="rId37" Type="http://schemas.openxmlformats.org/officeDocument/2006/relationships/hyperlink" Target="https://web.archive.org/web/20191203041906/https:/www.bcb.gob.bo/webdocs/informes_deudaexterna/Informe%20Anual%202018_14032019.pdf" TargetMode="External"/><Relationship Id="rId58" Type="http://schemas.openxmlformats.org/officeDocument/2006/relationships/hyperlink" Target="https://web.archive.org/web/20240226203800/https:/www.bncr.fi.cr/_cache_42a2/content/1609240000215132.pdf" TargetMode="External"/><Relationship Id="rId79" Type="http://schemas.openxmlformats.org/officeDocument/2006/relationships/hyperlink" Target="https://web.archive.org/web/20240211021118/https:/publicadministration.un.org/unpsa/Portals/0/UNPSA_Submitted_Docs/Informe%20de%20Ejecuci%C3%B3n%20del%20Proyecto%20Sistema%20de%20Comando%20y%20Control.pdf?ver=2018-11-30-213315-317" TargetMode="External"/><Relationship Id="rId102" Type="http://schemas.openxmlformats.org/officeDocument/2006/relationships/hyperlink" Target="https://web.archive.org/web/20221225141902/https:/www.reuters.com/article/ecuador-debt-china/ecuador-clinches-900-mln-loan-from-china-moreno-idUSL1N1YH0YJ" TargetMode="External"/><Relationship Id="rId123" Type="http://schemas.openxmlformats.org/officeDocument/2006/relationships/hyperlink" Target="https://web.archive.org/web/20201201214843/https:/jis.gov.jm/jamaica-and-china-mark-35-years-of-diplomatic-relations/" TargetMode="External"/><Relationship Id="rId144" Type="http://schemas.openxmlformats.org/officeDocument/2006/relationships/hyperlink" Target="http://web.archive.org/web/20231104222810/https:/www.central-bank.org.tt/sites/default/files/latest-news/Updated%20Sept%2010%202013%20-%20EB%20July%202013.pdf" TargetMode="External"/><Relationship Id="rId90" Type="http://schemas.openxmlformats.org/officeDocument/2006/relationships/hyperlink" Target="https://www.dropbox.com/s/n3z8t3mgqpzdnv4/TERMINOS-Y-CONDICIONES.pdf?dl=0" TargetMode="External"/><Relationship Id="rId165" Type="http://schemas.openxmlformats.org/officeDocument/2006/relationships/hyperlink" Target="https://web.archive.org/web/20221220170727/https:/gisbarbados.gov.bb/blog/road-works-in-shorey-village-close-to-completion/" TargetMode="External"/><Relationship Id="rId186" Type="http://schemas.openxmlformats.org/officeDocument/2006/relationships/hyperlink" Target="http://web.archive.org/web/20200926024224/https:/www.sdmo.org/images/Leningen/Leenovereenkomsten_Buitenland_2016.pdf" TargetMode="External"/><Relationship Id="rId27" Type="http://schemas.openxmlformats.org/officeDocument/2006/relationships/hyperlink" Target="https://web.archive.org/web/20200719001352/http:/cl2.mofcom.gov.cn/aarticle/chinanews/201112/20111207897388.html" TargetMode="External"/><Relationship Id="rId48" Type="http://schemas.openxmlformats.org/officeDocument/2006/relationships/hyperlink" Target="https://web.archive.org/web/20231026175230/https:/www.bndes.gov.br/wps/portal/site/home/imprensa/noticias/conteudo/bndes-e-banco-de-desenvolvimento-chines-assinam-acordo-de-uss-1-3-bilhao%20-para-infraestrutura-e-economia-verde-no-brasil" TargetMode="External"/><Relationship Id="rId69" Type="http://schemas.openxmlformats.org/officeDocument/2006/relationships/hyperlink" Target="https://web.archive.org/web/20220302163732/https:/www.finanzas.gob.ec/wp-content/uploads/downloads/2020/08/1.1-Four-Party-Agreement-dated-27-June-2011-CDB-II.pdf" TargetMode="External"/><Relationship Id="rId113" Type="http://schemas.openxmlformats.org/officeDocument/2006/relationships/hyperlink" Target="https://web.archive.org/web/20220122014643/https:/finance.gov.gy/wp-content/uploads/Public-Debt-Annual-Report-2017-to-be-published-on-line.pdf" TargetMode="External"/><Relationship Id="rId134" Type="http://schemas.openxmlformats.org/officeDocument/2006/relationships/hyperlink" Target="https://web.archive.org/web/20240306195551/https:/andina.pe/agencia/noticia-cofide-and-china-development-bank-signed-loan-agreement-for-up-to-50-million-261722.aspx" TargetMode="External"/><Relationship Id="rId80" Type="http://schemas.openxmlformats.org/officeDocument/2006/relationships/hyperlink" Target="https://www.dropbox.com/s/n3z8t3mgqpzdnv4/TERMINOS-Y-CONDICIONES.pdf?dl=0" TargetMode="External"/><Relationship Id="rId155" Type="http://schemas.openxmlformats.org/officeDocument/2006/relationships/hyperlink" Target="https://web.archive.org/web/20150709122315/https:/www.bloomberg.com/news/articles/2013-06-03/pdvsa-signs-4-billion-china-loan-to-boost-orinoco-field-output" TargetMode="External"/><Relationship Id="rId176" Type="http://schemas.openxmlformats.org/officeDocument/2006/relationships/hyperlink" Target="https://web.archive.org/web/20150225011517/http:/www.ticotimes.net/2015/02/23/lawmakers-approve-chinese-loan-for-expanding-route-32-to-the-caribbean" TargetMode="External"/><Relationship Id="rId197" Type="http://schemas.openxmlformats.org/officeDocument/2006/relationships/hyperlink" Target="https://web.archive.org/web/20190818222518/https:/www.sec.gov/Archives/edgar/data/906424/000119312516712239/d171369dex99t3e.htm" TargetMode="External"/><Relationship Id="rId201" Type="http://schemas.openxmlformats.org/officeDocument/2006/relationships/hyperlink" Target="https://web.archive.org/web/20240311171706/https:/jacobsfotos.files.wordpress.com/2013/07/cheddi-jagan-airport-extention-contract-with-the-chinese.pdf" TargetMode="External"/><Relationship Id="rId17" Type="http://schemas.openxmlformats.org/officeDocument/2006/relationships/hyperlink" Target="https://web.archive.org/web/20230315161607/http:/english.scio.gov.cn/beltandroad/2018-09/03/content_61849761.htm" TargetMode="External"/><Relationship Id="rId38" Type="http://schemas.openxmlformats.org/officeDocument/2006/relationships/hyperlink" Target="https://web.archive.org/web/20240306212101/https:/eletrobras.com/en/SobreaEletrobras/Annual%20Report_2007.pdf" TargetMode="External"/><Relationship Id="rId59" Type="http://schemas.openxmlformats.org/officeDocument/2006/relationships/hyperlink" Target="https://drive.google.com/file/d/1mqKvIXoeh60Gwec5CLpgyfOsaui8BgUE/view?usp=drive_link" TargetMode="External"/><Relationship Id="rId103" Type="http://schemas.openxmlformats.org/officeDocument/2006/relationships/hyperlink" Target="https://web.archive.org/web/20210425185907/https:/www.finanzas.gob.ec/finanzas-suscribe-convenio-de-credito-con-eximbank-de-china-para-yachay/" TargetMode="External"/><Relationship Id="rId124" Type="http://schemas.openxmlformats.org/officeDocument/2006/relationships/hyperlink" Target="http://web.archive.org/web/20150425120416/http:/jis.gov.jm/china-extends-over-10-billion-in-aid-to-jamaica/" TargetMode="External"/><Relationship Id="rId70" Type="http://schemas.openxmlformats.org/officeDocument/2006/relationships/hyperlink" Target="https://web.archive.org/web/20240211021118/https:/publicadministration.un.org/unpsa/Portals/0/UNPSA_Submitted_Docs/Informe%20de%20Ejecuci%C3%B3n%20del%20Proyecto%20Sistema%20de%20Comando%20y%20Control.pdf?ver=2018-11-30-213315-317" TargetMode="External"/><Relationship Id="rId91" Type="http://schemas.openxmlformats.org/officeDocument/2006/relationships/hyperlink" Target="https://drive.google.com/file/d/1b_uoNndTFao6uAuX44erBb4HTG1kZgUx/view?usp=drive_link" TargetMode="External"/><Relationship Id="rId145" Type="http://schemas.openxmlformats.org/officeDocument/2006/relationships/hyperlink" Target="https://drive.google.com/file/d/13Uv2q9RHYLA3yJNoInI-IBPon0fVbH-e/view?usp=drive_link" TargetMode="External"/><Relationship Id="rId166" Type="http://schemas.openxmlformats.org/officeDocument/2006/relationships/hyperlink" Target="https://web.archive.org/web/20191203041906/https:/www.bcb.gob.bo/webdocs/informes_deudaexterna/Informe_Anual_2015.pdf" TargetMode="External"/><Relationship Id="rId187" Type="http://schemas.openxmlformats.org/officeDocument/2006/relationships/hyperlink" Target="https://web.archive.org/web/20240307000224/http:/www.dna.sr/media/145186/_JAARREDE_van_de_PRESIDENT_over_het_dienstjaar_2017.pdf" TargetMode="External"/><Relationship Id="rId1" Type="http://schemas.openxmlformats.org/officeDocument/2006/relationships/hyperlink" Target="https://www.dropbox.com/s/wwq6tcidfnebtv3/China%20Eximbank%20Loan%20Agreement%20for%20Antigua%20New%20Power%20Plant.pdf?dl=0" TargetMode="External"/><Relationship Id="rId28" Type="http://schemas.openxmlformats.org/officeDocument/2006/relationships/hyperlink" Target="https://web.archive.org/web/20191203041906/https:/www.bcb.gob.bo/webdocs/informes_deudaexterna/Informe%20Anual%202018_14032019.pdf" TargetMode="External"/><Relationship Id="rId49" Type="http://schemas.openxmlformats.org/officeDocument/2006/relationships/hyperlink" Target="https://web.archive.org/web/20231026175230/https:/www.bndes.gov.br/wps/portal/site/home/imprensa/noticias/conteudo/bndes-e-banco-de-desenvolvimento-chines-assinam-acordo-de-uss-1-3-bilhao%20-para-infraestrutura-e-economia-verde-no-brasil" TargetMode="External"/><Relationship Id="rId114" Type="http://schemas.openxmlformats.org/officeDocument/2006/relationships/hyperlink" Target="https://web.archive.org/web/20220811021452/https:/parliament.gov.gy/documents/acts/4147-gpl_2012_annual_report.pdf" TargetMode="External"/><Relationship Id="rId60" Type="http://schemas.openxmlformats.org/officeDocument/2006/relationships/hyperlink" Target="https://web.archive.org/web/20160620213437/http:/spanish.peopledaily.com.cn/n3/2016/0619/c31617-9074269.html" TargetMode="External"/><Relationship Id="rId81" Type="http://schemas.openxmlformats.org/officeDocument/2006/relationships/hyperlink" Target="https://web.archive.org/web/20240306214305/https:/www.finanzas.gob.ec/wp-content/uploads/downloads/2013/02/DE_DIC_2012.pdf" TargetMode="External"/><Relationship Id="rId135" Type="http://schemas.openxmlformats.org/officeDocument/2006/relationships/hyperlink" Target="https://drive.google.com/file/d/1jzP0IBer7aO2gFatFpDynMcX2x_Zd9a8/view?usp=drive_link" TargetMode="External"/><Relationship Id="rId156" Type="http://schemas.openxmlformats.org/officeDocument/2006/relationships/hyperlink" Target="https://web.archive.org/web/20171228192851/https:/www.sec.gov/Archives/edgar/data/103198/000119312517376486/d505622dex99d.htm" TargetMode="External"/><Relationship Id="rId177" Type="http://schemas.openxmlformats.org/officeDocument/2006/relationships/hyperlink" Target="https://webcache.googleusercontent.com/search?q=cache:8DnhERzgym8J:https://misiones.cubaminrex.cu/es/articulo/se-inaugura-en-china-construccion-de-dique-flotante-para-los-astilleros-cubanos-0&amp;cd=1&amp;hl=en&amp;ct=clnk&amp;gl=us&amp;client=safari" TargetMode="External"/><Relationship Id="rId198" Type="http://schemas.openxmlformats.org/officeDocument/2006/relationships/hyperlink" Target="http://web.archive.org/web/20210712081545/https:/www.sec.gov/Archives/edgar/data/103198/000119312515333744/d83375dex99d.htm" TargetMode="External"/><Relationship Id="rId202" Type="http://schemas.openxmlformats.org/officeDocument/2006/relationships/hyperlink" Target="http://news.ifeng.com/a/20140719/41225944_0.shtml" TargetMode="External"/><Relationship Id="rId18" Type="http://schemas.openxmlformats.org/officeDocument/2006/relationships/hyperlink" Target="https://web.archive.org/web/20170518041946/https:/www.infobae.com/economia/2017/05/17/el-bice-cerro-un-acuerdo-en-china-para-financiar-a-pymes-por-usd-150-millones/" TargetMode="External"/><Relationship Id="rId39" Type="http://schemas.openxmlformats.org/officeDocument/2006/relationships/hyperlink" Target="http://www.cdb.com.cn/web/NewsInfo.asp?NewsId=5797" TargetMode="External"/><Relationship Id="rId50" Type="http://schemas.openxmlformats.org/officeDocument/2006/relationships/hyperlink" Target="https://www.cdb.com.cn/xwzx/mtjj/202308/t20230825_11072.html" TargetMode="External"/><Relationship Id="rId104" Type="http://schemas.openxmlformats.org/officeDocument/2006/relationships/hyperlink" Target="https://web.archive.org/web/20180224003901/http:/www.finanzas.gob.ec/wp-content/uploads/downloads/2016/12/DE_NOVIEMBRE-2016.pdf" TargetMode="External"/><Relationship Id="rId125" Type="http://schemas.openxmlformats.org/officeDocument/2006/relationships/hyperlink" Target="http://web.archive.org/web/20150425120416/http:/jis.gov.jm/china-extends-over-10-billion-in-aid-to-jamaica/" TargetMode="External"/><Relationship Id="rId146" Type="http://schemas.openxmlformats.org/officeDocument/2006/relationships/hyperlink" Target="http://web.archive.org/web/20231104222810/https:/www.central-bank.org.tt/sites/default/files/latest-news/Updated%20Sept%2010%202013%20-%20EB%20July%202013.pdf" TargetMode="External"/><Relationship Id="rId167" Type="http://schemas.openxmlformats.org/officeDocument/2006/relationships/hyperlink" Target="https://web.archive.org/web/20201019054402/http:/www.diputados.bo/leyes/ley-n%C2%B0-895" TargetMode="External"/><Relationship Id="rId188" Type="http://schemas.openxmlformats.org/officeDocument/2006/relationships/hyperlink" Target="https://web.archive.org/web/20221230235344/https:/www.finance.gov.tt/wp-content/uploads/2022/09/Budget-Statement-2023-E-Version.pdf" TargetMode="External"/><Relationship Id="rId71" Type="http://schemas.openxmlformats.org/officeDocument/2006/relationships/hyperlink" Target="http://web.archive.org/web/20110809095433/http:/andes.info.ec/economia/usd-2-000-millones-de-credito-chino-seran-para-financiar-proyectos-hidroelectricos-y-de-riego-72135.html" TargetMode="External"/><Relationship Id="rId92" Type="http://schemas.openxmlformats.org/officeDocument/2006/relationships/hyperlink" Target="https://www.dropbox.com/s/n3z8t3mgqpzdnv4/TERMINOS-Y-CONDICIONES.pdf?dl=0" TargetMode="External"/><Relationship Id="rId2" Type="http://schemas.openxmlformats.org/officeDocument/2006/relationships/hyperlink" Target="https://web.archive.org/web/20211123070258/http:/www.mofcom.gov.cn/article/beltandroad/ag/enindex.shtml" TargetMode="External"/><Relationship Id="rId29" Type="http://schemas.openxmlformats.org/officeDocument/2006/relationships/hyperlink" Target="https://web.archive.org/web/20240306223828/https:/www.noticiasfides.com/economia/choferes-reciben-aval-presidencial-para-obtener-credito-de-us-100-millones-de-china-320298-32028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60F1-EAD3-1141-84A1-45402500D202}">
  <dimension ref="A1:K135"/>
  <sheetViews>
    <sheetView tabSelected="1" topLeftCell="A123" workbookViewId="0">
      <selection activeCell="L1" sqref="L1:L1048576"/>
    </sheetView>
  </sheetViews>
  <sheetFormatPr baseColWidth="10" defaultColWidth="11" defaultRowHeight="16" x14ac:dyDescent="0.2"/>
  <cols>
    <col min="1" max="2" width="11" style="11"/>
    <col min="3" max="3" width="90.6640625" style="11" customWidth="1"/>
    <col min="4" max="4" width="10.83203125" style="16"/>
    <col min="5" max="5" width="11" style="11"/>
    <col min="6" max="6" width="32" style="11" customWidth="1"/>
    <col min="7" max="7" width="11" style="11"/>
    <col min="8" max="8" width="11.83203125" style="11" bestFit="1" customWidth="1"/>
    <col min="9" max="9" width="26.1640625" style="11" customWidth="1"/>
    <col min="10" max="10" width="48.1640625" style="11" customWidth="1"/>
    <col min="11" max="11" width="30.5" style="11" customWidth="1"/>
    <col min="12" max="16384" width="11" style="11"/>
  </cols>
  <sheetData>
    <row r="1" spans="1:11" x14ac:dyDescent="0.2">
      <c r="A1" s="1"/>
      <c r="B1" s="7"/>
      <c r="C1" s="9"/>
      <c r="D1" s="10"/>
      <c r="E1" s="9"/>
      <c r="F1" s="9"/>
    </row>
    <row r="2" spans="1:11" s="6" customFormat="1" ht="1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">
      <c r="A3" s="1" t="s">
        <v>11</v>
      </c>
      <c r="B3" s="1">
        <v>2008</v>
      </c>
      <c r="C3" s="1" t="s">
        <v>12</v>
      </c>
      <c r="D3" s="8">
        <v>43.7</v>
      </c>
      <c r="E3" s="1" t="s">
        <v>13</v>
      </c>
      <c r="F3" s="1" t="s">
        <v>14</v>
      </c>
      <c r="G3" s="1" t="s">
        <v>15</v>
      </c>
      <c r="H3" s="9"/>
      <c r="I3" s="1" t="s">
        <v>16</v>
      </c>
      <c r="J3" s="1" t="s">
        <v>17</v>
      </c>
      <c r="K3" s="12" t="s">
        <v>18</v>
      </c>
    </row>
    <row r="4" spans="1:11" x14ac:dyDescent="0.2">
      <c r="A4" s="1" t="s">
        <v>19</v>
      </c>
      <c r="B4" s="1">
        <v>2011</v>
      </c>
      <c r="C4" s="1" t="s">
        <v>20</v>
      </c>
      <c r="D4" s="8">
        <v>32.51</v>
      </c>
      <c r="E4" s="1" t="s">
        <v>13</v>
      </c>
      <c r="F4" s="1" t="s">
        <v>14</v>
      </c>
      <c r="G4" s="1" t="s">
        <v>15</v>
      </c>
      <c r="H4" s="9"/>
      <c r="I4" s="1" t="s">
        <v>21</v>
      </c>
      <c r="J4" s="12" t="s">
        <v>22</v>
      </c>
      <c r="K4" s="12" t="s">
        <v>23</v>
      </c>
    </row>
    <row r="5" spans="1:11" x14ac:dyDescent="0.2">
      <c r="A5" s="1" t="s">
        <v>24</v>
      </c>
      <c r="B5" s="1">
        <v>2016</v>
      </c>
      <c r="C5" s="1" t="s">
        <v>25</v>
      </c>
      <c r="D5" s="8">
        <v>97</v>
      </c>
      <c r="E5" s="1" t="s">
        <v>13</v>
      </c>
      <c r="F5" s="1" t="s">
        <v>14</v>
      </c>
      <c r="G5" s="1" t="s">
        <v>15</v>
      </c>
      <c r="H5" s="9"/>
      <c r="I5" s="1" t="s">
        <v>21</v>
      </c>
      <c r="J5" s="9" t="s">
        <v>26</v>
      </c>
      <c r="K5" s="12" t="s">
        <v>27</v>
      </c>
    </row>
    <row r="6" spans="1:11" x14ac:dyDescent="0.2">
      <c r="A6" s="1" t="s">
        <v>28</v>
      </c>
      <c r="B6" s="1">
        <v>2013</v>
      </c>
      <c r="C6" s="1" t="s">
        <v>29</v>
      </c>
      <c r="D6" s="8">
        <v>45.16</v>
      </c>
      <c r="E6" s="1" t="s">
        <v>13</v>
      </c>
      <c r="F6" s="1" t="s">
        <v>14</v>
      </c>
      <c r="G6" s="1" t="s">
        <v>15</v>
      </c>
      <c r="H6" s="9"/>
      <c r="I6" s="1" t="s">
        <v>21</v>
      </c>
      <c r="J6" s="12" t="s">
        <v>30</v>
      </c>
      <c r="K6" s="12" t="s">
        <v>31</v>
      </c>
    </row>
    <row r="7" spans="1:11" x14ac:dyDescent="0.2">
      <c r="A7" s="1" t="s">
        <v>32</v>
      </c>
      <c r="B7" s="1">
        <v>2007</v>
      </c>
      <c r="C7" s="1" t="s">
        <v>33</v>
      </c>
      <c r="D7" s="8">
        <v>30</v>
      </c>
      <c r="E7" s="1" t="s">
        <v>34</v>
      </c>
      <c r="F7" s="1" t="s">
        <v>35</v>
      </c>
      <c r="G7" s="1" t="s">
        <v>36</v>
      </c>
      <c r="H7" s="9"/>
      <c r="I7" s="1" t="s">
        <v>37</v>
      </c>
      <c r="J7" s="12" t="s">
        <v>38</v>
      </c>
      <c r="K7" s="12" t="s">
        <v>39</v>
      </c>
    </row>
    <row r="8" spans="1:11" x14ac:dyDescent="0.2">
      <c r="A8" s="1" t="s">
        <v>40</v>
      </c>
      <c r="B8" s="1">
        <v>2010</v>
      </c>
      <c r="C8" s="1" t="s">
        <v>33</v>
      </c>
      <c r="D8" s="8">
        <v>30</v>
      </c>
      <c r="E8" s="1" t="s">
        <v>34</v>
      </c>
      <c r="F8" s="1" t="s">
        <v>35</v>
      </c>
      <c r="G8" s="1" t="s">
        <v>36</v>
      </c>
      <c r="H8" s="9"/>
      <c r="I8" s="1" t="s">
        <v>41</v>
      </c>
      <c r="J8" s="12" t="s">
        <v>42</v>
      </c>
      <c r="K8" s="12" t="s">
        <v>43</v>
      </c>
    </row>
    <row r="9" spans="1:11" x14ac:dyDescent="0.2">
      <c r="A9" s="1" t="s">
        <v>44</v>
      </c>
      <c r="B9" s="1">
        <v>2010</v>
      </c>
      <c r="C9" s="1" t="s">
        <v>45</v>
      </c>
      <c r="D9" s="8">
        <v>273</v>
      </c>
      <c r="E9" s="1" t="s">
        <v>34</v>
      </c>
      <c r="F9" s="1" t="s">
        <v>14</v>
      </c>
      <c r="G9" s="1" t="s">
        <v>36</v>
      </c>
      <c r="H9" s="1" t="s">
        <v>46</v>
      </c>
      <c r="I9" s="1" t="s">
        <v>21</v>
      </c>
      <c r="J9" s="12" t="s">
        <v>47</v>
      </c>
      <c r="K9" s="12" t="s">
        <v>48</v>
      </c>
    </row>
    <row r="10" spans="1:11" x14ac:dyDescent="0.2">
      <c r="A10" s="1" t="s">
        <v>49</v>
      </c>
      <c r="B10" s="1">
        <v>2012</v>
      </c>
      <c r="C10" s="1" t="s">
        <v>50</v>
      </c>
      <c r="D10" s="8">
        <v>200</v>
      </c>
      <c r="E10" s="1" t="s">
        <v>34</v>
      </c>
      <c r="F10" s="1" t="s">
        <v>35</v>
      </c>
      <c r="G10" s="1" t="s">
        <v>36</v>
      </c>
      <c r="H10" s="9"/>
      <c r="I10" s="1" t="s">
        <v>51</v>
      </c>
      <c r="J10" s="12" t="s">
        <v>52</v>
      </c>
      <c r="K10" s="12" t="s">
        <v>53</v>
      </c>
    </row>
    <row r="11" spans="1:11" x14ac:dyDescent="0.2">
      <c r="A11" s="1" t="s">
        <v>54</v>
      </c>
      <c r="B11" s="1">
        <v>2012</v>
      </c>
      <c r="C11" s="1" t="s">
        <v>55</v>
      </c>
      <c r="D11" s="8">
        <v>80</v>
      </c>
      <c r="E11" s="1" t="s">
        <v>34</v>
      </c>
      <c r="F11" s="1" t="s">
        <v>35</v>
      </c>
      <c r="G11" s="1" t="s">
        <v>36</v>
      </c>
      <c r="H11" s="9"/>
      <c r="I11" s="1" t="s">
        <v>37</v>
      </c>
      <c r="J11" s="12" t="s">
        <v>39</v>
      </c>
      <c r="K11" s="9"/>
    </row>
    <row r="12" spans="1:11" x14ac:dyDescent="0.2">
      <c r="A12" s="1" t="s">
        <v>56</v>
      </c>
      <c r="B12" s="1">
        <v>2014</v>
      </c>
      <c r="C12" s="1" t="s">
        <v>57</v>
      </c>
      <c r="D12" s="8">
        <v>2498.6055000000001</v>
      </c>
      <c r="E12" s="1" t="s">
        <v>34</v>
      </c>
      <c r="F12" s="1" t="s">
        <v>14</v>
      </c>
      <c r="G12" s="1" t="s">
        <v>36</v>
      </c>
      <c r="H12" s="9"/>
      <c r="I12" s="1" t="s">
        <v>16</v>
      </c>
      <c r="J12" s="12" t="s">
        <v>58</v>
      </c>
      <c r="K12" s="12" t="s">
        <v>59</v>
      </c>
    </row>
    <row r="13" spans="1:11" x14ac:dyDescent="0.2">
      <c r="A13" s="1" t="s">
        <v>60</v>
      </c>
      <c r="B13" s="1">
        <v>2014</v>
      </c>
      <c r="C13" s="1" t="s">
        <v>61</v>
      </c>
      <c r="D13" s="8">
        <v>161.5</v>
      </c>
      <c r="E13" s="1" t="s">
        <v>34</v>
      </c>
      <c r="F13" s="1" t="s">
        <v>14</v>
      </c>
      <c r="G13" s="1" t="s">
        <v>15</v>
      </c>
      <c r="H13" s="9"/>
      <c r="I13" s="1" t="s">
        <v>21</v>
      </c>
      <c r="J13" s="12" t="s">
        <v>62</v>
      </c>
      <c r="K13" s="12" t="s">
        <v>63</v>
      </c>
    </row>
    <row r="14" spans="1:11" x14ac:dyDescent="0.2">
      <c r="A14" s="1" t="s">
        <v>64</v>
      </c>
      <c r="B14" s="1">
        <v>2014</v>
      </c>
      <c r="C14" s="1" t="s">
        <v>65</v>
      </c>
      <c r="D14" s="8">
        <v>1899.9658340000001</v>
      </c>
      <c r="E14" s="1" t="s">
        <v>34</v>
      </c>
      <c r="F14" s="1" t="s">
        <v>14</v>
      </c>
      <c r="G14" s="1" t="s">
        <v>36</v>
      </c>
      <c r="H14" s="1" t="s">
        <v>66</v>
      </c>
      <c r="I14" s="1" t="s">
        <v>21</v>
      </c>
      <c r="J14" s="13" t="s">
        <v>67</v>
      </c>
      <c r="K14" s="13" t="s">
        <v>68</v>
      </c>
    </row>
    <row r="15" spans="1:11" x14ac:dyDescent="0.2">
      <c r="A15" s="1" t="s">
        <v>69</v>
      </c>
      <c r="B15" s="1">
        <v>2017</v>
      </c>
      <c r="C15" s="1" t="s">
        <v>70</v>
      </c>
      <c r="D15" s="8">
        <v>331.5</v>
      </c>
      <c r="E15" s="1" t="s">
        <v>34</v>
      </c>
      <c r="F15" s="1" t="s">
        <v>14</v>
      </c>
      <c r="G15" s="1" t="s">
        <v>15</v>
      </c>
      <c r="H15" s="1" t="s">
        <v>46</v>
      </c>
      <c r="I15" s="1" t="s">
        <v>16</v>
      </c>
      <c r="J15" s="12" t="s">
        <v>71</v>
      </c>
      <c r="K15" s="12" t="s">
        <v>72</v>
      </c>
    </row>
    <row r="16" spans="1:11" x14ac:dyDescent="0.2">
      <c r="A16" s="1" t="s">
        <v>73</v>
      </c>
      <c r="B16" s="1">
        <v>2017</v>
      </c>
      <c r="C16" s="1" t="s">
        <v>74</v>
      </c>
      <c r="D16" s="8">
        <v>150</v>
      </c>
      <c r="E16" s="1" t="s">
        <v>34</v>
      </c>
      <c r="F16" s="1" t="s">
        <v>35</v>
      </c>
      <c r="G16" s="1" t="s">
        <v>36</v>
      </c>
      <c r="H16" s="1" t="s">
        <v>75</v>
      </c>
      <c r="I16" s="1" t="s">
        <v>37</v>
      </c>
      <c r="J16" s="2" t="s">
        <v>76</v>
      </c>
      <c r="K16" s="12" t="s">
        <v>77</v>
      </c>
    </row>
    <row r="17" spans="1:11" x14ac:dyDescent="0.2">
      <c r="A17" s="1" t="s">
        <v>78</v>
      </c>
      <c r="B17" s="1">
        <v>2019</v>
      </c>
      <c r="C17" s="1" t="s">
        <v>79</v>
      </c>
      <c r="D17" s="8">
        <v>1678</v>
      </c>
      <c r="E17" s="1" t="s">
        <v>34</v>
      </c>
      <c r="F17" s="1" t="s">
        <v>14</v>
      </c>
      <c r="G17" s="1" t="s">
        <v>15</v>
      </c>
      <c r="H17" s="9"/>
      <c r="I17" s="1" t="s">
        <v>21</v>
      </c>
      <c r="J17" s="12" t="s">
        <v>80</v>
      </c>
      <c r="K17" s="12" t="s">
        <v>81</v>
      </c>
    </row>
    <row r="18" spans="1:11" x14ac:dyDescent="0.2">
      <c r="A18" s="1" t="s">
        <v>82</v>
      </c>
      <c r="B18" s="1">
        <v>2019</v>
      </c>
      <c r="C18" s="1" t="s">
        <v>83</v>
      </c>
      <c r="D18" s="8">
        <v>236</v>
      </c>
      <c r="E18" s="1" t="s">
        <v>34</v>
      </c>
      <c r="F18" s="1" t="s">
        <v>14</v>
      </c>
      <c r="G18" s="1" t="s">
        <v>36</v>
      </c>
      <c r="H18" s="9"/>
      <c r="I18" s="1" t="s">
        <v>21</v>
      </c>
      <c r="J18" s="12" t="s">
        <v>84</v>
      </c>
      <c r="K18" s="12" t="s">
        <v>85</v>
      </c>
    </row>
    <row r="19" spans="1:11" x14ac:dyDescent="0.2">
      <c r="A19" s="1" t="s">
        <v>86</v>
      </c>
      <c r="B19" s="1">
        <v>2010</v>
      </c>
      <c r="C19" s="1" t="s">
        <v>87</v>
      </c>
      <c r="D19" s="8">
        <v>113.83</v>
      </c>
      <c r="E19" s="1" t="s">
        <v>34</v>
      </c>
      <c r="F19" s="1" t="s">
        <v>14</v>
      </c>
      <c r="G19" s="1" t="s">
        <v>15</v>
      </c>
      <c r="H19" s="9"/>
      <c r="I19" s="1" t="s">
        <v>21</v>
      </c>
      <c r="J19" s="11" t="s">
        <v>88</v>
      </c>
      <c r="K19" s="12" t="s">
        <v>89</v>
      </c>
    </row>
    <row r="20" spans="1:11" x14ac:dyDescent="0.2">
      <c r="A20" s="1" t="s">
        <v>90</v>
      </c>
      <c r="B20" s="1">
        <v>2015</v>
      </c>
      <c r="C20" s="1" t="s">
        <v>91</v>
      </c>
      <c r="D20" s="8">
        <v>170</v>
      </c>
      <c r="E20" s="1" t="s">
        <v>92</v>
      </c>
      <c r="F20" s="1" t="s">
        <v>93</v>
      </c>
      <c r="G20" s="1" t="s">
        <v>15</v>
      </c>
      <c r="H20" s="1" t="s">
        <v>66</v>
      </c>
      <c r="I20" s="1" t="s">
        <v>51</v>
      </c>
      <c r="J20" s="12" t="s">
        <v>94</v>
      </c>
      <c r="K20" s="12" t="s">
        <v>95</v>
      </c>
    </row>
    <row r="21" spans="1:11" x14ac:dyDescent="0.2">
      <c r="A21" s="1" t="s">
        <v>96</v>
      </c>
      <c r="B21" s="1">
        <v>2022</v>
      </c>
      <c r="C21" s="1" t="s">
        <v>97</v>
      </c>
      <c r="D21" s="8">
        <v>121</v>
      </c>
      <c r="E21" s="1" t="s">
        <v>92</v>
      </c>
      <c r="F21" s="1" t="s">
        <v>14</v>
      </c>
      <c r="G21" s="1" t="s">
        <v>15</v>
      </c>
      <c r="H21" s="9"/>
      <c r="I21" s="1" t="s">
        <v>21</v>
      </c>
      <c r="J21" s="12" t="s">
        <v>98</v>
      </c>
      <c r="K21" s="12" t="s">
        <v>99</v>
      </c>
    </row>
    <row r="22" spans="1:11" x14ac:dyDescent="0.2">
      <c r="A22" s="1" t="s">
        <v>100</v>
      </c>
      <c r="B22" s="1">
        <v>2010</v>
      </c>
      <c r="C22" s="1" t="s">
        <v>101</v>
      </c>
      <c r="D22" s="8">
        <v>249.5</v>
      </c>
      <c r="E22" s="1" t="s">
        <v>102</v>
      </c>
      <c r="F22" s="1" t="s">
        <v>14</v>
      </c>
      <c r="G22" s="1" t="s">
        <v>36</v>
      </c>
      <c r="H22" s="9"/>
      <c r="I22" s="1" t="s">
        <v>103</v>
      </c>
      <c r="J22" s="12" t="s">
        <v>104</v>
      </c>
      <c r="K22" s="9"/>
    </row>
    <row r="23" spans="1:11" x14ac:dyDescent="0.2">
      <c r="A23" s="1" t="s">
        <v>105</v>
      </c>
      <c r="B23" s="1">
        <v>2011</v>
      </c>
      <c r="C23" s="1" t="s">
        <v>106</v>
      </c>
      <c r="D23" s="8">
        <v>110.9</v>
      </c>
      <c r="E23" s="1" t="s">
        <v>102</v>
      </c>
      <c r="F23" s="1" t="s">
        <v>14</v>
      </c>
      <c r="G23" s="1" t="s">
        <v>36</v>
      </c>
      <c r="H23" s="9"/>
      <c r="I23" s="1" t="s">
        <v>21</v>
      </c>
      <c r="J23" s="12" t="s">
        <v>107</v>
      </c>
      <c r="K23" s="9"/>
    </row>
    <row r="24" spans="1:11" x14ac:dyDescent="0.2">
      <c r="A24" s="1" t="s">
        <v>108</v>
      </c>
      <c r="B24" s="1">
        <v>2012</v>
      </c>
      <c r="C24" s="1" t="s">
        <v>109</v>
      </c>
      <c r="D24" s="8">
        <v>100</v>
      </c>
      <c r="E24" s="1" t="s">
        <v>102</v>
      </c>
      <c r="F24" s="1" t="s">
        <v>14</v>
      </c>
      <c r="G24" s="1" t="s">
        <v>15</v>
      </c>
      <c r="H24" s="9"/>
      <c r="I24" s="1" t="s">
        <v>21</v>
      </c>
      <c r="J24" s="14" t="s">
        <v>110</v>
      </c>
      <c r="K24" s="14" t="s">
        <v>111</v>
      </c>
    </row>
    <row r="25" spans="1:11" x14ac:dyDescent="0.2">
      <c r="A25" s="1" t="s">
        <v>112</v>
      </c>
      <c r="B25" s="1">
        <v>2016</v>
      </c>
      <c r="C25" s="1" t="s">
        <v>113</v>
      </c>
      <c r="D25" s="8">
        <v>215</v>
      </c>
      <c r="E25" s="1" t="s">
        <v>102</v>
      </c>
      <c r="F25" s="1" t="s">
        <v>14</v>
      </c>
      <c r="G25" s="1" t="s">
        <v>15</v>
      </c>
      <c r="H25" s="9"/>
      <c r="I25" s="1" t="s">
        <v>21</v>
      </c>
      <c r="J25" s="12" t="s">
        <v>114</v>
      </c>
      <c r="K25" s="12" t="s">
        <v>115</v>
      </c>
    </row>
    <row r="26" spans="1:11" x14ac:dyDescent="0.2">
      <c r="A26" s="1" t="s">
        <v>116</v>
      </c>
      <c r="B26" s="1">
        <v>2016</v>
      </c>
      <c r="C26" s="1" t="s">
        <v>117</v>
      </c>
      <c r="D26" s="8">
        <v>362</v>
      </c>
      <c r="E26" s="1" t="s">
        <v>102</v>
      </c>
      <c r="F26" s="1" t="s">
        <v>14</v>
      </c>
      <c r="G26" s="1" t="s">
        <v>15</v>
      </c>
      <c r="H26" s="9"/>
      <c r="I26" s="1" t="s">
        <v>21</v>
      </c>
      <c r="J26" s="12" t="s">
        <v>114</v>
      </c>
      <c r="K26" s="12" t="s">
        <v>118</v>
      </c>
    </row>
    <row r="27" spans="1:11" x14ac:dyDescent="0.2">
      <c r="A27" s="1" t="s">
        <v>119</v>
      </c>
      <c r="B27" s="1">
        <v>2015</v>
      </c>
      <c r="C27" s="1" t="s">
        <v>120</v>
      </c>
      <c r="D27" s="8">
        <v>492</v>
      </c>
      <c r="E27" s="1" t="s">
        <v>102</v>
      </c>
      <c r="F27" s="1" t="s">
        <v>14</v>
      </c>
      <c r="G27" s="1" t="s">
        <v>15</v>
      </c>
      <c r="H27" s="9"/>
      <c r="I27" s="1" t="s">
        <v>21</v>
      </c>
      <c r="J27" s="12" t="s">
        <v>121</v>
      </c>
      <c r="K27" s="12"/>
    </row>
    <row r="28" spans="1:11" x14ac:dyDescent="0.2">
      <c r="A28" s="1" t="s">
        <v>122</v>
      </c>
      <c r="B28" s="1">
        <v>2017</v>
      </c>
      <c r="C28" s="1" t="s">
        <v>123</v>
      </c>
      <c r="D28" s="8">
        <v>396.1</v>
      </c>
      <c r="E28" s="1" t="s">
        <v>102</v>
      </c>
      <c r="F28" s="1" t="s">
        <v>14</v>
      </c>
      <c r="G28" s="1" t="s">
        <v>15</v>
      </c>
      <c r="H28" s="9"/>
      <c r="I28" s="1" t="s">
        <v>37</v>
      </c>
      <c r="J28" s="12" t="s">
        <v>124</v>
      </c>
      <c r="K28" s="12" t="s">
        <v>114</v>
      </c>
    </row>
    <row r="29" spans="1:11" x14ac:dyDescent="0.2">
      <c r="A29" s="1" t="s">
        <v>125</v>
      </c>
      <c r="B29" s="1">
        <v>2016</v>
      </c>
      <c r="C29" s="1" t="s">
        <v>126</v>
      </c>
      <c r="D29" s="8">
        <v>1000</v>
      </c>
      <c r="E29" s="1" t="s">
        <v>102</v>
      </c>
      <c r="F29" s="1" t="s">
        <v>14</v>
      </c>
      <c r="G29" s="1" t="s">
        <v>15</v>
      </c>
      <c r="H29" s="9"/>
      <c r="I29" s="1" t="s">
        <v>16</v>
      </c>
      <c r="J29" s="12" t="s">
        <v>127</v>
      </c>
      <c r="K29" s="12" t="s">
        <v>128</v>
      </c>
    </row>
    <row r="30" spans="1:11" x14ac:dyDescent="0.2">
      <c r="A30" s="1" t="s">
        <v>129</v>
      </c>
      <c r="B30" s="1">
        <v>2016</v>
      </c>
      <c r="C30" s="1" t="s">
        <v>130</v>
      </c>
      <c r="D30" s="8">
        <v>52.71</v>
      </c>
      <c r="E30" s="1" t="s">
        <v>102</v>
      </c>
      <c r="F30" s="1" t="s">
        <v>14</v>
      </c>
      <c r="G30" s="1" t="s">
        <v>15</v>
      </c>
      <c r="H30" s="9"/>
      <c r="I30" s="1" t="s">
        <v>131</v>
      </c>
      <c r="J30" s="12" t="s">
        <v>114</v>
      </c>
      <c r="K30" s="15" t="s">
        <v>132</v>
      </c>
    </row>
    <row r="31" spans="1:11" x14ac:dyDescent="0.2">
      <c r="A31" s="1" t="s">
        <v>133</v>
      </c>
      <c r="B31" s="1">
        <v>2007</v>
      </c>
      <c r="C31" s="1" t="s">
        <v>134</v>
      </c>
      <c r="D31" s="8">
        <v>36.78</v>
      </c>
      <c r="E31" s="1" t="s">
        <v>102</v>
      </c>
      <c r="F31" s="1" t="s">
        <v>14</v>
      </c>
      <c r="G31" s="1" t="s">
        <v>15</v>
      </c>
      <c r="H31" s="9"/>
      <c r="I31" s="1" t="s">
        <v>21</v>
      </c>
      <c r="J31" s="12" t="s">
        <v>114</v>
      </c>
      <c r="K31" s="9"/>
    </row>
    <row r="32" spans="1:11" x14ac:dyDescent="0.2">
      <c r="A32" s="1" t="s">
        <v>135</v>
      </c>
      <c r="B32" s="1">
        <v>2017</v>
      </c>
      <c r="C32" s="1" t="s">
        <v>136</v>
      </c>
      <c r="D32" s="8">
        <v>51.78</v>
      </c>
      <c r="E32" s="1" t="s">
        <v>102</v>
      </c>
      <c r="F32" s="1" t="s">
        <v>14</v>
      </c>
      <c r="G32" s="1" t="s">
        <v>15</v>
      </c>
      <c r="H32" s="9"/>
      <c r="I32" s="1" t="s">
        <v>131</v>
      </c>
      <c r="J32" s="12" t="s">
        <v>137</v>
      </c>
      <c r="K32" s="9"/>
    </row>
    <row r="33" spans="1:11" x14ac:dyDescent="0.2">
      <c r="A33" s="1" t="s">
        <v>138</v>
      </c>
      <c r="B33" s="1">
        <v>2010</v>
      </c>
      <c r="C33" s="1" t="s">
        <v>139</v>
      </c>
      <c r="D33" s="8">
        <v>41.51</v>
      </c>
      <c r="E33" s="1" t="s">
        <v>102</v>
      </c>
      <c r="F33" s="1" t="s">
        <v>14</v>
      </c>
      <c r="G33" s="1" t="s">
        <v>15</v>
      </c>
      <c r="H33" s="9"/>
      <c r="I33" s="1" t="s">
        <v>51</v>
      </c>
      <c r="J33" s="12" t="s">
        <v>140</v>
      </c>
      <c r="K33" s="9"/>
    </row>
    <row r="34" spans="1:11" x14ac:dyDescent="0.2">
      <c r="A34" s="1" t="s">
        <v>141</v>
      </c>
      <c r="B34" s="1">
        <v>2011</v>
      </c>
      <c r="C34" s="1" t="s">
        <v>142</v>
      </c>
      <c r="D34" s="8">
        <v>59.73</v>
      </c>
      <c r="E34" s="1" t="s">
        <v>102</v>
      </c>
      <c r="F34" s="1" t="s">
        <v>14</v>
      </c>
      <c r="G34" s="1" t="s">
        <v>15</v>
      </c>
      <c r="H34" s="9"/>
      <c r="I34" s="1" t="s">
        <v>16</v>
      </c>
      <c r="J34" s="12" t="s">
        <v>114</v>
      </c>
      <c r="K34" s="9"/>
    </row>
    <row r="35" spans="1:11" x14ac:dyDescent="0.2">
      <c r="A35" s="1" t="s">
        <v>143</v>
      </c>
      <c r="B35" s="1">
        <v>2007</v>
      </c>
      <c r="C35" s="1" t="s">
        <v>144</v>
      </c>
      <c r="D35" s="8">
        <v>750</v>
      </c>
      <c r="E35" s="1" t="s">
        <v>145</v>
      </c>
      <c r="F35" s="1" t="s">
        <v>146</v>
      </c>
      <c r="G35" s="1" t="s">
        <v>36</v>
      </c>
      <c r="H35" s="9"/>
      <c r="I35" s="1" t="s">
        <v>16</v>
      </c>
      <c r="J35" s="13" t="s">
        <v>147</v>
      </c>
      <c r="K35" s="2" t="s">
        <v>148</v>
      </c>
    </row>
    <row r="36" spans="1:11" x14ac:dyDescent="0.2">
      <c r="A36" s="1" t="s">
        <v>149</v>
      </c>
      <c r="B36" s="1">
        <v>2007</v>
      </c>
      <c r="C36" s="1" t="s">
        <v>150</v>
      </c>
      <c r="D36" s="8">
        <v>281</v>
      </c>
      <c r="E36" s="1" t="s">
        <v>145</v>
      </c>
      <c r="F36" s="1" t="s">
        <v>14</v>
      </c>
      <c r="G36" s="1" t="s">
        <v>36</v>
      </c>
      <c r="H36" s="9"/>
      <c r="I36" s="1" t="s">
        <v>16</v>
      </c>
      <c r="J36" s="12" t="s">
        <v>151</v>
      </c>
      <c r="K36" s="9"/>
    </row>
    <row r="37" spans="1:11" x14ac:dyDescent="0.2">
      <c r="A37" s="1" t="s">
        <v>152</v>
      </c>
      <c r="B37" s="1">
        <v>2009</v>
      </c>
      <c r="C37" s="1" t="s">
        <v>153</v>
      </c>
      <c r="D37" s="8">
        <v>10000</v>
      </c>
      <c r="E37" s="1" t="s">
        <v>145</v>
      </c>
      <c r="F37" s="1" t="s">
        <v>154</v>
      </c>
      <c r="G37" s="1" t="s">
        <v>36</v>
      </c>
      <c r="H37" s="9"/>
      <c r="I37" s="1" t="s">
        <v>16</v>
      </c>
      <c r="J37" s="12" t="s">
        <v>155</v>
      </c>
      <c r="K37" s="12" t="s">
        <v>156</v>
      </c>
    </row>
    <row r="38" spans="1:11" x14ac:dyDescent="0.2">
      <c r="A38" s="1" t="s">
        <v>157</v>
      </c>
      <c r="B38" s="1">
        <v>2015</v>
      </c>
      <c r="C38" s="1" t="s">
        <v>158</v>
      </c>
      <c r="D38" s="8">
        <v>3500</v>
      </c>
      <c r="E38" s="1" t="s">
        <v>145</v>
      </c>
      <c r="F38" s="1" t="s">
        <v>154</v>
      </c>
      <c r="G38" s="1" t="s">
        <v>36</v>
      </c>
      <c r="H38" s="9"/>
      <c r="I38" s="1" t="s">
        <v>16</v>
      </c>
      <c r="J38" s="2" t="s">
        <v>159</v>
      </c>
      <c r="K38" s="12" t="s">
        <v>160</v>
      </c>
    </row>
    <row r="39" spans="1:11" x14ac:dyDescent="0.2">
      <c r="A39" s="1" t="s">
        <v>161</v>
      </c>
      <c r="B39" s="1">
        <v>2015</v>
      </c>
      <c r="C39" s="1" t="s">
        <v>162</v>
      </c>
      <c r="D39" s="8">
        <v>1500</v>
      </c>
      <c r="E39" s="1" t="s">
        <v>145</v>
      </c>
      <c r="F39" s="1" t="s">
        <v>154</v>
      </c>
      <c r="G39" s="1" t="s">
        <v>36</v>
      </c>
      <c r="H39" s="9"/>
      <c r="I39" s="1" t="s">
        <v>16</v>
      </c>
      <c r="J39" s="2" t="s">
        <v>159</v>
      </c>
      <c r="K39" s="12" t="s">
        <v>163</v>
      </c>
    </row>
    <row r="40" spans="1:11" x14ac:dyDescent="0.2">
      <c r="A40" s="1" t="s">
        <v>164</v>
      </c>
      <c r="B40" s="1">
        <v>2015</v>
      </c>
      <c r="C40" s="1" t="s">
        <v>165</v>
      </c>
      <c r="D40" s="8">
        <v>1300</v>
      </c>
      <c r="E40" s="1" t="s">
        <v>145</v>
      </c>
      <c r="F40" s="1" t="s">
        <v>146</v>
      </c>
      <c r="G40" s="1" t="s">
        <v>15</v>
      </c>
      <c r="H40" s="9"/>
      <c r="I40" s="1" t="s">
        <v>37</v>
      </c>
      <c r="J40" s="12" t="s">
        <v>166</v>
      </c>
      <c r="K40" s="12"/>
    </row>
    <row r="41" spans="1:11" x14ac:dyDescent="0.2">
      <c r="A41" s="1" t="s">
        <v>167</v>
      </c>
      <c r="B41" s="1">
        <v>2015</v>
      </c>
      <c r="C41" s="1" t="s">
        <v>168</v>
      </c>
      <c r="D41" s="8">
        <v>1210</v>
      </c>
      <c r="E41" s="1" t="s">
        <v>145</v>
      </c>
      <c r="F41" s="1" t="s">
        <v>14</v>
      </c>
      <c r="G41" s="1" t="s">
        <v>36</v>
      </c>
      <c r="H41" s="9"/>
      <c r="I41" s="1" t="s">
        <v>37</v>
      </c>
      <c r="J41" s="12" t="s">
        <v>169</v>
      </c>
      <c r="K41" s="12" t="s">
        <v>170</v>
      </c>
    </row>
    <row r="42" spans="1:11" x14ac:dyDescent="0.2">
      <c r="A42" s="1" t="s">
        <v>171</v>
      </c>
      <c r="B42" s="1">
        <v>2016</v>
      </c>
      <c r="C42" s="1" t="s">
        <v>172</v>
      </c>
      <c r="D42" s="8">
        <v>5000</v>
      </c>
      <c r="E42" s="1" t="s">
        <v>145</v>
      </c>
      <c r="F42" s="1" t="s">
        <v>154</v>
      </c>
      <c r="G42" s="1" t="s">
        <v>36</v>
      </c>
      <c r="H42" s="9"/>
      <c r="I42" s="1" t="s">
        <v>131</v>
      </c>
      <c r="J42" s="12" t="s">
        <v>173</v>
      </c>
      <c r="K42" s="12" t="s">
        <v>174</v>
      </c>
    </row>
    <row r="43" spans="1:11" x14ac:dyDescent="0.2">
      <c r="A43" s="1" t="s">
        <v>175</v>
      </c>
      <c r="B43" s="1">
        <v>2016</v>
      </c>
      <c r="C43" s="1" t="s">
        <v>172</v>
      </c>
      <c r="D43" s="8">
        <v>1000</v>
      </c>
      <c r="E43" s="1" t="s">
        <v>145</v>
      </c>
      <c r="F43" s="1" t="s">
        <v>176</v>
      </c>
      <c r="G43" s="1" t="s">
        <v>15</v>
      </c>
      <c r="H43" s="9"/>
      <c r="I43" s="1" t="s">
        <v>16</v>
      </c>
      <c r="J43" s="12" t="s">
        <v>177</v>
      </c>
      <c r="K43" s="12" t="s">
        <v>178</v>
      </c>
    </row>
    <row r="44" spans="1:11" x14ac:dyDescent="0.2">
      <c r="A44" s="1" t="s">
        <v>179</v>
      </c>
      <c r="B44" s="1">
        <v>2017</v>
      </c>
      <c r="C44" s="1" t="s">
        <v>180</v>
      </c>
      <c r="D44" s="8">
        <v>5000</v>
      </c>
      <c r="E44" s="1" t="s">
        <v>145</v>
      </c>
      <c r="F44" s="1" t="s">
        <v>154</v>
      </c>
      <c r="G44" s="1" t="s">
        <v>36</v>
      </c>
      <c r="H44" s="9"/>
      <c r="I44" s="1" t="s">
        <v>16</v>
      </c>
      <c r="J44" s="12" t="s">
        <v>181</v>
      </c>
      <c r="K44" s="12" t="s">
        <v>182</v>
      </c>
    </row>
    <row r="45" spans="1:11" x14ac:dyDescent="0.2">
      <c r="A45" s="1" t="s">
        <v>183</v>
      </c>
      <c r="B45" s="1">
        <v>2019</v>
      </c>
      <c r="C45" s="1" t="s">
        <v>184</v>
      </c>
      <c r="D45" s="8">
        <v>300</v>
      </c>
      <c r="E45" s="1" t="s">
        <v>145</v>
      </c>
      <c r="F45" s="1" t="s">
        <v>185</v>
      </c>
      <c r="G45" s="1" t="s">
        <v>15</v>
      </c>
      <c r="H45" s="9"/>
      <c r="I45" s="1" t="s">
        <v>37</v>
      </c>
      <c r="J45" s="12" t="s">
        <v>186</v>
      </c>
      <c r="K45" s="12" t="s">
        <v>187</v>
      </c>
    </row>
    <row r="46" spans="1:11" x14ac:dyDescent="0.2">
      <c r="A46" s="1" t="s">
        <v>188</v>
      </c>
      <c r="B46" s="1">
        <v>2019</v>
      </c>
      <c r="C46" s="1" t="s">
        <v>189</v>
      </c>
      <c r="D46" s="8">
        <v>750</v>
      </c>
      <c r="E46" s="1" t="s">
        <v>145</v>
      </c>
      <c r="F46" s="1" t="s">
        <v>154</v>
      </c>
      <c r="G46" s="1" t="s">
        <v>15</v>
      </c>
      <c r="H46" s="9"/>
      <c r="I46" s="1" t="s">
        <v>16</v>
      </c>
      <c r="J46" s="12" t="s">
        <v>190</v>
      </c>
      <c r="K46" s="9"/>
    </row>
    <row r="47" spans="1:11" x14ac:dyDescent="0.2">
      <c r="A47" s="1" t="s">
        <v>191</v>
      </c>
      <c r="B47" s="1">
        <v>2022</v>
      </c>
      <c r="C47" s="1" t="s">
        <v>192</v>
      </c>
      <c r="D47" s="8">
        <v>500</v>
      </c>
      <c r="E47" s="1" t="s">
        <v>145</v>
      </c>
      <c r="F47" s="1" t="s">
        <v>185</v>
      </c>
      <c r="G47" s="1" t="s">
        <v>36</v>
      </c>
      <c r="H47" s="9"/>
      <c r="I47" s="1" t="s">
        <v>41</v>
      </c>
      <c r="J47" s="12" t="s">
        <v>193</v>
      </c>
      <c r="K47" s="12" t="s">
        <v>194</v>
      </c>
    </row>
    <row r="48" spans="1:11" x14ac:dyDescent="0.2">
      <c r="A48" s="1" t="s">
        <v>195</v>
      </c>
      <c r="B48" s="1">
        <v>2023</v>
      </c>
      <c r="C48" s="1" t="s">
        <v>196</v>
      </c>
      <c r="D48" s="8">
        <v>800</v>
      </c>
      <c r="E48" s="1" t="s">
        <v>145</v>
      </c>
      <c r="F48" s="1" t="s">
        <v>146</v>
      </c>
      <c r="G48" s="1" t="s">
        <v>36</v>
      </c>
      <c r="H48" s="9"/>
      <c r="I48" s="1" t="s">
        <v>51</v>
      </c>
      <c r="J48" s="12" t="s">
        <v>197</v>
      </c>
      <c r="K48" s="9"/>
    </row>
    <row r="49" spans="1:11" x14ac:dyDescent="0.2">
      <c r="A49" s="1" t="s">
        <v>198</v>
      </c>
      <c r="B49" s="1">
        <v>2023</v>
      </c>
      <c r="C49" s="1" t="s">
        <v>199</v>
      </c>
      <c r="D49" s="8">
        <v>500</v>
      </c>
      <c r="E49" s="1" t="s">
        <v>145</v>
      </c>
      <c r="F49" s="1" t="s">
        <v>146</v>
      </c>
      <c r="G49" s="1" t="s">
        <v>36</v>
      </c>
      <c r="H49" s="9"/>
      <c r="I49" s="1" t="s">
        <v>41</v>
      </c>
      <c r="J49" s="12" t="s">
        <v>197</v>
      </c>
      <c r="K49" s="12" t="s">
        <v>200</v>
      </c>
    </row>
    <row r="50" spans="1:11" x14ac:dyDescent="0.2">
      <c r="A50" s="1" t="s">
        <v>201</v>
      </c>
      <c r="B50" s="1">
        <v>2011</v>
      </c>
      <c r="C50" s="1" t="s">
        <v>202</v>
      </c>
      <c r="D50" s="8">
        <v>58</v>
      </c>
      <c r="E50" s="1" t="s">
        <v>203</v>
      </c>
      <c r="F50" s="1" t="s">
        <v>14</v>
      </c>
      <c r="G50" s="1" t="s">
        <v>15</v>
      </c>
      <c r="H50" s="9"/>
      <c r="I50" s="1" t="s">
        <v>21</v>
      </c>
      <c r="J50" s="12" t="s">
        <v>204</v>
      </c>
      <c r="K50" s="12" t="s">
        <v>205</v>
      </c>
    </row>
    <row r="51" spans="1:11" x14ac:dyDescent="0.2">
      <c r="A51" s="1" t="s">
        <v>206</v>
      </c>
      <c r="B51" s="1">
        <v>2012</v>
      </c>
      <c r="C51" s="1" t="s">
        <v>207</v>
      </c>
      <c r="D51" s="8">
        <v>41</v>
      </c>
      <c r="E51" s="1" t="s">
        <v>203</v>
      </c>
      <c r="F51" s="1" t="s">
        <v>14</v>
      </c>
      <c r="G51" s="1" t="s">
        <v>15</v>
      </c>
      <c r="H51" s="9"/>
      <c r="I51" s="1" t="s">
        <v>51</v>
      </c>
      <c r="J51" s="9" t="s">
        <v>208</v>
      </c>
      <c r="K51" s="12" t="s">
        <v>209</v>
      </c>
    </row>
    <row r="52" spans="1:11" x14ac:dyDescent="0.2">
      <c r="A52" s="1" t="s">
        <v>210</v>
      </c>
      <c r="B52" s="1">
        <v>2008</v>
      </c>
      <c r="C52" s="1" t="s">
        <v>211</v>
      </c>
      <c r="D52" s="8">
        <v>40</v>
      </c>
      <c r="E52" s="1" t="s">
        <v>212</v>
      </c>
      <c r="F52" s="1" t="s">
        <v>213</v>
      </c>
      <c r="G52" s="1" t="s">
        <v>36</v>
      </c>
      <c r="H52" s="9"/>
      <c r="I52" s="1" t="s">
        <v>51</v>
      </c>
      <c r="J52" s="12" t="s">
        <v>214</v>
      </c>
    </row>
    <row r="53" spans="1:11" x14ac:dyDescent="0.2">
      <c r="A53" s="1" t="s">
        <v>215</v>
      </c>
      <c r="B53" s="1">
        <v>2015</v>
      </c>
      <c r="C53" s="1" t="s">
        <v>216</v>
      </c>
      <c r="D53" s="8">
        <v>395</v>
      </c>
      <c r="E53" s="1" t="s">
        <v>212</v>
      </c>
      <c r="F53" s="1" t="s">
        <v>14</v>
      </c>
      <c r="G53" s="1" t="s">
        <v>15</v>
      </c>
      <c r="H53" s="9"/>
      <c r="I53" s="1" t="s">
        <v>21</v>
      </c>
      <c r="J53" s="12" t="s">
        <v>217</v>
      </c>
      <c r="K53" s="12" t="s">
        <v>218</v>
      </c>
    </row>
    <row r="54" spans="1:11" x14ac:dyDescent="0.2">
      <c r="A54" s="1" t="s">
        <v>219</v>
      </c>
      <c r="B54" s="1">
        <v>2015</v>
      </c>
      <c r="C54" s="1" t="s">
        <v>220</v>
      </c>
      <c r="D54" s="8">
        <v>47.51</v>
      </c>
      <c r="E54" s="1" t="s">
        <v>212</v>
      </c>
      <c r="F54" s="1" t="s">
        <v>14</v>
      </c>
      <c r="G54" s="1" t="s">
        <v>15</v>
      </c>
      <c r="H54" s="9"/>
      <c r="I54" s="1" t="s">
        <v>21</v>
      </c>
      <c r="J54" s="12" t="s">
        <v>217</v>
      </c>
      <c r="K54" s="12" t="s">
        <v>218</v>
      </c>
    </row>
    <row r="55" spans="1:11" x14ac:dyDescent="0.2">
      <c r="A55" s="1" t="s">
        <v>221</v>
      </c>
      <c r="B55" s="1">
        <v>2022</v>
      </c>
      <c r="C55" s="1" t="s">
        <v>222</v>
      </c>
      <c r="D55" s="8">
        <v>50</v>
      </c>
      <c r="E55" s="1" t="s">
        <v>212</v>
      </c>
      <c r="F55" s="1" t="s">
        <v>213</v>
      </c>
      <c r="G55" s="1" t="s">
        <v>36</v>
      </c>
      <c r="H55" s="9"/>
      <c r="I55" s="1" t="s">
        <v>51</v>
      </c>
      <c r="J55" s="12" t="s">
        <v>223</v>
      </c>
      <c r="K55" s="12" t="s">
        <v>224</v>
      </c>
    </row>
    <row r="56" spans="1:11" x14ac:dyDescent="0.2">
      <c r="A56" s="1" t="s">
        <v>225</v>
      </c>
      <c r="B56" s="1">
        <v>2015</v>
      </c>
      <c r="C56" s="1" t="s">
        <v>226</v>
      </c>
      <c r="D56" s="8">
        <v>60</v>
      </c>
      <c r="E56" s="1" t="s">
        <v>227</v>
      </c>
      <c r="F56" s="1" t="s">
        <v>14</v>
      </c>
      <c r="G56" s="1" t="s">
        <v>15</v>
      </c>
      <c r="H56" s="9"/>
      <c r="I56" s="1" t="s">
        <v>16</v>
      </c>
      <c r="J56" s="12" t="s">
        <v>228</v>
      </c>
    </row>
    <row r="57" spans="1:11" x14ac:dyDescent="0.2">
      <c r="A57" s="1" t="s">
        <v>229</v>
      </c>
      <c r="B57" s="1">
        <v>2016</v>
      </c>
      <c r="C57" s="1" t="s">
        <v>230</v>
      </c>
      <c r="D57" s="8">
        <v>120</v>
      </c>
      <c r="E57" s="1" t="s">
        <v>227</v>
      </c>
      <c r="F57" s="1" t="s">
        <v>14</v>
      </c>
      <c r="G57" s="1" t="s">
        <v>15</v>
      </c>
      <c r="H57" s="9"/>
      <c r="I57" s="1" t="s">
        <v>21</v>
      </c>
      <c r="J57" s="12" t="s">
        <v>231</v>
      </c>
      <c r="K57" s="9" t="s">
        <v>232</v>
      </c>
    </row>
    <row r="58" spans="1:11" x14ac:dyDescent="0.2">
      <c r="A58" s="1" t="s">
        <v>233</v>
      </c>
      <c r="B58" s="1">
        <v>2017</v>
      </c>
      <c r="C58" s="1" t="s">
        <v>234</v>
      </c>
      <c r="D58" s="8">
        <v>159.69999999999999</v>
      </c>
      <c r="E58" s="1" t="s">
        <v>227</v>
      </c>
      <c r="F58" s="1" t="s">
        <v>14</v>
      </c>
      <c r="G58" s="1" t="s">
        <v>36</v>
      </c>
      <c r="H58" s="9"/>
      <c r="I58" s="1" t="s">
        <v>16</v>
      </c>
      <c r="J58" s="12" t="s">
        <v>235</v>
      </c>
      <c r="K58" s="12" t="s">
        <v>236</v>
      </c>
    </row>
    <row r="59" spans="1:11" x14ac:dyDescent="0.2">
      <c r="A59" s="1" t="s">
        <v>237</v>
      </c>
      <c r="B59" s="1">
        <v>2017</v>
      </c>
      <c r="C59" s="1" t="s">
        <v>238</v>
      </c>
      <c r="D59" s="8">
        <v>29.1</v>
      </c>
      <c r="E59" s="1" t="s">
        <v>227</v>
      </c>
      <c r="F59" s="1" t="s">
        <v>14</v>
      </c>
      <c r="G59" s="1" t="s">
        <v>15</v>
      </c>
      <c r="H59" s="9"/>
      <c r="I59" s="1" t="s">
        <v>21</v>
      </c>
      <c r="J59" s="12" t="s">
        <v>239</v>
      </c>
      <c r="K59" s="12" t="s">
        <v>240</v>
      </c>
    </row>
    <row r="60" spans="1:11" x14ac:dyDescent="0.2">
      <c r="A60" s="1" t="s">
        <v>241</v>
      </c>
      <c r="B60" s="1">
        <v>2010</v>
      </c>
      <c r="C60" s="1" t="s">
        <v>242</v>
      </c>
      <c r="D60" s="8">
        <v>41.36</v>
      </c>
      <c r="E60" s="1" t="s">
        <v>243</v>
      </c>
      <c r="F60" s="1" t="s">
        <v>14</v>
      </c>
      <c r="G60" s="1" t="s">
        <v>15</v>
      </c>
      <c r="H60" s="9"/>
      <c r="I60" s="1" t="s">
        <v>51</v>
      </c>
      <c r="J60" s="12" t="s">
        <v>244</v>
      </c>
      <c r="K60" s="9"/>
    </row>
    <row r="61" spans="1:11" x14ac:dyDescent="0.2">
      <c r="A61" s="1" t="s">
        <v>245</v>
      </c>
      <c r="B61" s="1">
        <v>2010</v>
      </c>
      <c r="C61" s="1" t="s">
        <v>246</v>
      </c>
      <c r="D61" s="8">
        <v>1682.7449999999999</v>
      </c>
      <c r="E61" s="1" t="s">
        <v>247</v>
      </c>
      <c r="F61" s="1" t="s">
        <v>14</v>
      </c>
      <c r="G61" s="1" t="s">
        <v>15</v>
      </c>
      <c r="H61" s="9"/>
      <c r="I61" s="1" t="s">
        <v>16</v>
      </c>
      <c r="J61" s="12" t="s">
        <v>248</v>
      </c>
      <c r="K61" s="12" t="s">
        <v>249</v>
      </c>
    </row>
    <row r="62" spans="1:11" x14ac:dyDescent="0.2">
      <c r="A62" s="1" t="s">
        <v>250</v>
      </c>
      <c r="B62" s="1">
        <v>2010</v>
      </c>
      <c r="C62" s="1" t="s">
        <v>251</v>
      </c>
      <c r="D62" s="8">
        <v>1000</v>
      </c>
      <c r="E62" s="1" t="s">
        <v>247</v>
      </c>
      <c r="F62" s="1" t="s">
        <v>252</v>
      </c>
      <c r="G62" s="1" t="s">
        <v>36</v>
      </c>
      <c r="H62" s="9"/>
      <c r="I62" s="1" t="s">
        <v>51</v>
      </c>
      <c r="J62" s="12" t="s">
        <v>253</v>
      </c>
      <c r="K62" s="12" t="s">
        <v>254</v>
      </c>
    </row>
    <row r="63" spans="1:11" x14ac:dyDescent="0.2">
      <c r="A63" s="1" t="s">
        <v>255</v>
      </c>
      <c r="B63" s="1">
        <v>2011</v>
      </c>
      <c r="C63" s="1" t="s">
        <v>256</v>
      </c>
      <c r="D63" s="8">
        <v>50</v>
      </c>
      <c r="E63" s="1" t="s">
        <v>247</v>
      </c>
      <c r="F63" s="1" t="s">
        <v>14</v>
      </c>
      <c r="G63" s="1" t="s">
        <v>36</v>
      </c>
      <c r="H63" s="9"/>
      <c r="I63" s="1" t="s">
        <v>16</v>
      </c>
      <c r="J63" s="12" t="s">
        <v>257</v>
      </c>
      <c r="K63" s="12" t="s">
        <v>258</v>
      </c>
    </row>
    <row r="64" spans="1:11" x14ac:dyDescent="0.2">
      <c r="A64" s="1" t="s">
        <v>259</v>
      </c>
      <c r="B64" s="1">
        <v>2011</v>
      </c>
      <c r="C64" s="1" t="s">
        <v>260</v>
      </c>
      <c r="D64" s="8">
        <v>37.5</v>
      </c>
      <c r="E64" s="1" t="s">
        <v>247</v>
      </c>
      <c r="F64" s="1" t="s">
        <v>14</v>
      </c>
      <c r="G64" s="1" t="s">
        <v>36</v>
      </c>
      <c r="H64" s="9"/>
      <c r="I64" s="1" t="s">
        <v>16</v>
      </c>
      <c r="J64" s="12" t="s">
        <v>257</v>
      </c>
      <c r="K64" s="12" t="s">
        <v>261</v>
      </c>
    </row>
    <row r="65" spans="1:11" x14ac:dyDescent="0.2">
      <c r="A65" s="1" t="s">
        <v>262</v>
      </c>
      <c r="B65" s="1">
        <v>2011</v>
      </c>
      <c r="C65" s="1" t="s">
        <v>263</v>
      </c>
      <c r="D65" s="8">
        <v>94.59</v>
      </c>
      <c r="E65" s="1" t="s">
        <v>247</v>
      </c>
      <c r="F65" s="1" t="s">
        <v>14</v>
      </c>
      <c r="G65" s="1" t="s">
        <v>36</v>
      </c>
      <c r="H65" s="9"/>
      <c r="I65" s="1" t="s">
        <v>131</v>
      </c>
      <c r="J65" s="12" t="s">
        <v>264</v>
      </c>
      <c r="K65" s="12" t="s">
        <v>261</v>
      </c>
    </row>
    <row r="66" spans="1:11" x14ac:dyDescent="0.2">
      <c r="A66" s="1" t="s">
        <v>265</v>
      </c>
      <c r="B66" s="1">
        <v>2013</v>
      </c>
      <c r="C66" s="1" t="s">
        <v>266</v>
      </c>
      <c r="D66" s="8">
        <v>506</v>
      </c>
      <c r="E66" s="1" t="s">
        <v>247</v>
      </c>
      <c r="F66" s="1" t="s">
        <v>14</v>
      </c>
      <c r="G66" s="1" t="s">
        <v>36</v>
      </c>
      <c r="H66" s="9"/>
      <c r="I66" s="1" t="s">
        <v>16</v>
      </c>
      <c r="J66" s="12" t="s">
        <v>267</v>
      </c>
      <c r="K66" s="12" t="s">
        <v>268</v>
      </c>
    </row>
    <row r="67" spans="1:11" x14ac:dyDescent="0.2">
      <c r="A67" s="1" t="s">
        <v>269</v>
      </c>
      <c r="B67" s="1">
        <v>2011</v>
      </c>
      <c r="C67" s="1" t="s">
        <v>270</v>
      </c>
      <c r="D67" s="8">
        <v>185</v>
      </c>
      <c r="E67" s="1" t="s">
        <v>247</v>
      </c>
      <c r="F67" s="1" t="s">
        <v>14</v>
      </c>
      <c r="G67" s="1" t="s">
        <v>36</v>
      </c>
      <c r="H67" s="9"/>
      <c r="I67" s="1" t="s">
        <v>16</v>
      </c>
      <c r="J67" s="12" t="s">
        <v>271</v>
      </c>
      <c r="K67" s="12" t="s">
        <v>272</v>
      </c>
    </row>
    <row r="68" spans="1:11" x14ac:dyDescent="0.2">
      <c r="A68" s="1" t="s">
        <v>273</v>
      </c>
      <c r="B68" s="1">
        <v>2011</v>
      </c>
      <c r="C68" s="1" t="s">
        <v>274</v>
      </c>
      <c r="D68" s="8">
        <v>95.5</v>
      </c>
      <c r="E68" s="1" t="s">
        <v>247</v>
      </c>
      <c r="F68" s="1" t="s">
        <v>14</v>
      </c>
      <c r="G68" s="1" t="s">
        <v>36</v>
      </c>
      <c r="H68" s="9"/>
      <c r="I68" s="1" t="s">
        <v>16</v>
      </c>
      <c r="J68" s="12" t="s">
        <v>261</v>
      </c>
      <c r="K68" s="12" t="s">
        <v>275</v>
      </c>
    </row>
    <row r="69" spans="1:11" x14ac:dyDescent="0.2">
      <c r="A69" s="1" t="s">
        <v>276</v>
      </c>
      <c r="B69" s="1">
        <v>2011</v>
      </c>
      <c r="C69" s="1" t="s">
        <v>277</v>
      </c>
      <c r="D69" s="8">
        <v>41.6</v>
      </c>
      <c r="E69" s="1" t="s">
        <v>247</v>
      </c>
      <c r="F69" s="1" t="s">
        <v>14</v>
      </c>
      <c r="G69" s="1" t="s">
        <v>36</v>
      </c>
      <c r="H69" s="9"/>
      <c r="I69" s="1" t="s">
        <v>16</v>
      </c>
      <c r="J69" s="12" t="s">
        <v>278</v>
      </c>
      <c r="K69" s="12" t="s">
        <v>261</v>
      </c>
    </row>
    <row r="70" spans="1:11" x14ac:dyDescent="0.2">
      <c r="A70" s="1" t="s">
        <v>279</v>
      </c>
      <c r="B70" s="1">
        <v>2011</v>
      </c>
      <c r="C70" s="1" t="s">
        <v>280</v>
      </c>
      <c r="D70" s="8">
        <v>1009</v>
      </c>
      <c r="E70" s="1" t="s">
        <v>247</v>
      </c>
      <c r="F70" s="1" t="s">
        <v>14</v>
      </c>
      <c r="G70" s="1" t="s">
        <v>36</v>
      </c>
      <c r="H70" s="9"/>
      <c r="I70" s="1" t="s">
        <v>51</v>
      </c>
      <c r="J70" s="12" t="s">
        <v>281</v>
      </c>
      <c r="K70" s="12" t="s">
        <v>257</v>
      </c>
    </row>
    <row r="71" spans="1:11" ht="17" customHeight="1" x14ac:dyDescent="0.2">
      <c r="A71" s="1" t="s">
        <v>282</v>
      </c>
      <c r="B71" s="1">
        <v>2011</v>
      </c>
      <c r="C71" s="1" t="s">
        <v>283</v>
      </c>
      <c r="D71" s="8">
        <v>152.11000000000001</v>
      </c>
      <c r="E71" s="1" t="s">
        <v>247</v>
      </c>
      <c r="F71" s="1" t="s">
        <v>14</v>
      </c>
      <c r="G71" s="1" t="s">
        <v>36</v>
      </c>
      <c r="H71" s="9"/>
      <c r="I71" s="1" t="s">
        <v>131</v>
      </c>
      <c r="J71" s="12" t="s">
        <v>264</v>
      </c>
      <c r="K71" s="12" t="s">
        <v>261</v>
      </c>
    </row>
    <row r="72" spans="1:11" x14ac:dyDescent="0.2">
      <c r="A72" s="1" t="s">
        <v>284</v>
      </c>
      <c r="B72" s="1">
        <v>2011</v>
      </c>
      <c r="C72" s="1" t="s">
        <v>285</v>
      </c>
      <c r="D72" s="8">
        <v>1849</v>
      </c>
      <c r="E72" s="1" t="s">
        <v>247</v>
      </c>
      <c r="F72" s="1" t="s">
        <v>14</v>
      </c>
      <c r="G72" s="1" t="s">
        <v>36</v>
      </c>
      <c r="H72" s="9"/>
      <c r="I72" s="1" t="s">
        <v>51</v>
      </c>
      <c r="J72" s="12" t="s">
        <v>286</v>
      </c>
      <c r="K72" s="12" t="s">
        <v>287</v>
      </c>
    </row>
    <row r="73" spans="1:11" x14ac:dyDescent="0.2">
      <c r="A73" s="1" t="s">
        <v>288</v>
      </c>
      <c r="B73" s="1">
        <v>2013</v>
      </c>
      <c r="C73" s="1" t="s">
        <v>289</v>
      </c>
      <c r="D73" s="8">
        <v>80.650000000000006</v>
      </c>
      <c r="E73" s="1" t="s">
        <v>247</v>
      </c>
      <c r="F73" s="1" t="s">
        <v>14</v>
      </c>
      <c r="G73" s="1" t="s">
        <v>15</v>
      </c>
      <c r="H73" s="9"/>
      <c r="I73" s="1" t="s">
        <v>21</v>
      </c>
      <c r="J73" s="12" t="s">
        <v>290</v>
      </c>
      <c r="K73" s="12" t="s">
        <v>291</v>
      </c>
    </row>
    <row r="74" spans="1:11" x14ac:dyDescent="0.2">
      <c r="A74" s="1" t="s">
        <v>292</v>
      </c>
      <c r="B74" s="1">
        <v>2014</v>
      </c>
      <c r="C74" s="1" t="s">
        <v>293</v>
      </c>
      <c r="D74" s="8">
        <v>509.23288265000002</v>
      </c>
      <c r="E74" s="1" t="s">
        <v>247</v>
      </c>
      <c r="F74" s="1" t="s">
        <v>14</v>
      </c>
      <c r="G74" s="1" t="s">
        <v>15</v>
      </c>
      <c r="H74" s="9"/>
      <c r="I74" s="1" t="s">
        <v>16</v>
      </c>
      <c r="J74" s="12" t="s">
        <v>294</v>
      </c>
      <c r="K74" s="9"/>
    </row>
    <row r="75" spans="1:11" x14ac:dyDescent="0.2">
      <c r="A75" s="1" t="s">
        <v>295</v>
      </c>
      <c r="B75" s="1">
        <v>2016</v>
      </c>
      <c r="C75" s="1" t="s">
        <v>296</v>
      </c>
      <c r="D75" s="8">
        <v>1500</v>
      </c>
      <c r="E75" s="1" t="s">
        <v>247</v>
      </c>
      <c r="F75" s="1" t="s">
        <v>14</v>
      </c>
      <c r="G75" s="1" t="s">
        <v>36</v>
      </c>
      <c r="H75" s="9"/>
      <c r="I75" s="1" t="s">
        <v>51</v>
      </c>
      <c r="J75" s="12" t="s">
        <v>297</v>
      </c>
      <c r="K75" s="12" t="s">
        <v>287</v>
      </c>
    </row>
    <row r="76" spans="1:11" x14ac:dyDescent="0.2">
      <c r="A76" s="1" t="s">
        <v>298</v>
      </c>
      <c r="B76" s="1">
        <v>2016</v>
      </c>
      <c r="C76" s="1" t="s">
        <v>299</v>
      </c>
      <c r="D76" s="8">
        <v>490.21</v>
      </c>
      <c r="E76" s="1" t="s">
        <v>247</v>
      </c>
      <c r="F76" s="1" t="s">
        <v>14</v>
      </c>
      <c r="G76" s="1" t="s">
        <v>36</v>
      </c>
      <c r="H76" s="9"/>
      <c r="I76" s="1" t="s">
        <v>51</v>
      </c>
      <c r="J76" s="12" t="s">
        <v>297</v>
      </c>
      <c r="K76" s="12" t="s">
        <v>287</v>
      </c>
    </row>
    <row r="77" spans="1:11" x14ac:dyDescent="0.2">
      <c r="A77" s="1" t="s">
        <v>300</v>
      </c>
      <c r="B77" s="1">
        <v>2017</v>
      </c>
      <c r="C77" s="1" t="s">
        <v>301</v>
      </c>
      <c r="D77" s="8">
        <v>200</v>
      </c>
      <c r="E77" s="1" t="s">
        <v>247</v>
      </c>
      <c r="F77" s="1" t="s">
        <v>14</v>
      </c>
      <c r="G77" s="1" t="s">
        <v>36</v>
      </c>
      <c r="H77" s="9"/>
      <c r="I77" s="1" t="s">
        <v>51</v>
      </c>
      <c r="J77" s="12" t="s">
        <v>302</v>
      </c>
      <c r="K77" s="12" t="s">
        <v>303</v>
      </c>
    </row>
    <row r="78" spans="1:11" x14ac:dyDescent="0.2">
      <c r="A78" s="1" t="s">
        <v>304</v>
      </c>
      <c r="B78" s="1">
        <v>2018</v>
      </c>
      <c r="C78" s="1" t="s">
        <v>305</v>
      </c>
      <c r="D78" s="8">
        <v>73.36</v>
      </c>
      <c r="E78" s="1" t="s">
        <v>247</v>
      </c>
      <c r="F78" s="1" t="s">
        <v>14</v>
      </c>
      <c r="G78" s="1" t="s">
        <v>15</v>
      </c>
      <c r="H78" s="9"/>
      <c r="I78" s="1" t="s">
        <v>21</v>
      </c>
      <c r="J78" s="12" t="s">
        <v>306</v>
      </c>
      <c r="K78" s="12" t="s">
        <v>307</v>
      </c>
    </row>
    <row r="79" spans="1:11" x14ac:dyDescent="0.2">
      <c r="A79" s="1" t="s">
        <v>308</v>
      </c>
      <c r="B79" s="1">
        <v>2018</v>
      </c>
      <c r="C79" s="1" t="s">
        <v>309</v>
      </c>
      <c r="D79" s="8">
        <v>675</v>
      </c>
      <c r="E79" s="1" t="s">
        <v>247</v>
      </c>
      <c r="F79" s="1" t="s">
        <v>14</v>
      </c>
      <c r="G79" s="1" t="s">
        <v>36</v>
      </c>
      <c r="H79" s="9"/>
      <c r="I79" s="1" t="s">
        <v>51</v>
      </c>
      <c r="J79" s="12" t="s">
        <v>306</v>
      </c>
      <c r="K79" s="12" t="s">
        <v>307</v>
      </c>
    </row>
    <row r="80" spans="1:11" x14ac:dyDescent="0.2">
      <c r="A80" s="1" t="s">
        <v>310</v>
      </c>
      <c r="B80" s="1">
        <v>2018</v>
      </c>
      <c r="C80" s="1" t="s">
        <v>311</v>
      </c>
      <c r="D80" s="8">
        <v>43</v>
      </c>
      <c r="E80" s="1" t="s">
        <v>247</v>
      </c>
      <c r="F80" s="1" t="s">
        <v>14</v>
      </c>
      <c r="G80" s="1" t="s">
        <v>36</v>
      </c>
      <c r="H80" s="9"/>
      <c r="I80" s="1" t="s">
        <v>21</v>
      </c>
      <c r="J80" s="12" t="s">
        <v>312</v>
      </c>
      <c r="K80" s="12" t="s">
        <v>313</v>
      </c>
    </row>
    <row r="81" spans="1:11" x14ac:dyDescent="0.2">
      <c r="A81" s="1" t="s">
        <v>314</v>
      </c>
      <c r="B81" s="1">
        <v>2018</v>
      </c>
      <c r="C81" s="1" t="s">
        <v>315</v>
      </c>
      <c r="D81" s="8">
        <v>188.57</v>
      </c>
      <c r="E81" s="1" t="s">
        <v>247</v>
      </c>
      <c r="F81" s="1" t="s">
        <v>14</v>
      </c>
      <c r="G81" s="1" t="s">
        <v>36</v>
      </c>
      <c r="H81" s="9"/>
      <c r="I81" s="1" t="s">
        <v>51</v>
      </c>
      <c r="J81" s="12" t="s">
        <v>316</v>
      </c>
      <c r="K81" s="12" t="s">
        <v>317</v>
      </c>
    </row>
    <row r="82" spans="1:11" x14ac:dyDescent="0.2">
      <c r="A82" s="1" t="s">
        <v>318</v>
      </c>
      <c r="B82" s="1">
        <v>2016</v>
      </c>
      <c r="C82" s="1" t="s">
        <v>319</v>
      </c>
      <c r="D82" s="8">
        <v>198.24</v>
      </c>
      <c r="E82" s="1" t="s">
        <v>247</v>
      </c>
      <c r="F82" s="1" t="s">
        <v>14</v>
      </c>
      <c r="G82" s="1" t="s">
        <v>15</v>
      </c>
      <c r="H82" s="9"/>
      <c r="I82" s="1" t="s">
        <v>320</v>
      </c>
      <c r="J82" s="12" t="s">
        <v>321</v>
      </c>
      <c r="K82" s="12" t="s">
        <v>322</v>
      </c>
    </row>
    <row r="83" spans="1:11" x14ac:dyDescent="0.2">
      <c r="A83" s="1" t="s">
        <v>323</v>
      </c>
      <c r="B83" s="1">
        <v>2019</v>
      </c>
      <c r="C83" s="1" t="s">
        <v>324</v>
      </c>
      <c r="D83" s="8">
        <v>106.18</v>
      </c>
      <c r="E83" s="1" t="s">
        <v>247</v>
      </c>
      <c r="F83" s="1" t="s">
        <v>14</v>
      </c>
      <c r="G83" s="1" t="s">
        <v>15</v>
      </c>
      <c r="H83" s="9"/>
      <c r="I83" s="1" t="s">
        <v>51</v>
      </c>
      <c r="J83" s="12" t="s">
        <v>325</v>
      </c>
      <c r="K83" s="12" t="s">
        <v>326</v>
      </c>
    </row>
    <row r="84" spans="1:11" x14ac:dyDescent="0.2">
      <c r="A84" s="1" t="s">
        <v>327</v>
      </c>
      <c r="B84" s="1">
        <v>2019</v>
      </c>
      <c r="C84" s="1" t="s">
        <v>328</v>
      </c>
      <c r="D84" s="8">
        <v>56.47</v>
      </c>
      <c r="E84" s="1" t="s">
        <v>247</v>
      </c>
      <c r="F84" s="1" t="s">
        <v>14</v>
      </c>
      <c r="G84" s="1" t="s">
        <v>15</v>
      </c>
      <c r="H84" s="9"/>
      <c r="I84" s="1" t="s">
        <v>21</v>
      </c>
      <c r="J84" s="12" t="s">
        <v>325</v>
      </c>
      <c r="K84" s="12" t="s">
        <v>326</v>
      </c>
    </row>
    <row r="85" spans="1:11" x14ac:dyDescent="0.2">
      <c r="A85" s="1" t="s">
        <v>329</v>
      </c>
      <c r="B85" s="1">
        <v>2011</v>
      </c>
      <c r="C85" s="1" t="s">
        <v>330</v>
      </c>
      <c r="D85" s="8">
        <v>554.25155396000002</v>
      </c>
      <c r="E85" s="1" t="s">
        <v>247</v>
      </c>
      <c r="F85" s="1" t="s">
        <v>14</v>
      </c>
      <c r="G85" s="1" t="s">
        <v>15</v>
      </c>
      <c r="H85" s="9"/>
      <c r="I85" s="1" t="s">
        <v>16</v>
      </c>
      <c r="J85" s="13" t="s">
        <v>331</v>
      </c>
      <c r="K85" s="1" t="s">
        <v>332</v>
      </c>
    </row>
    <row r="86" spans="1:11" x14ac:dyDescent="0.2">
      <c r="A86" s="1" t="s">
        <v>333</v>
      </c>
      <c r="B86" s="1">
        <v>2013</v>
      </c>
      <c r="C86" s="1" t="s">
        <v>334</v>
      </c>
      <c r="D86" s="8">
        <v>312.5</v>
      </c>
      <c r="E86" s="1" t="s">
        <v>247</v>
      </c>
      <c r="F86" s="1" t="s">
        <v>14</v>
      </c>
      <c r="G86" s="1" t="s">
        <v>15</v>
      </c>
      <c r="H86" s="9"/>
      <c r="I86" s="1" t="s">
        <v>16</v>
      </c>
      <c r="J86" s="12" t="s">
        <v>335</v>
      </c>
      <c r="K86" s="12" t="s">
        <v>336</v>
      </c>
    </row>
    <row r="87" spans="1:11" x14ac:dyDescent="0.2">
      <c r="A87" s="1" t="s">
        <v>337</v>
      </c>
      <c r="B87" s="1">
        <v>2016</v>
      </c>
      <c r="C87" s="1" t="s">
        <v>338</v>
      </c>
      <c r="D87" s="8">
        <v>102.5</v>
      </c>
      <c r="E87" s="1" t="s">
        <v>247</v>
      </c>
      <c r="F87" s="1" t="s">
        <v>14</v>
      </c>
      <c r="G87" s="1" t="s">
        <v>36</v>
      </c>
      <c r="H87" s="9"/>
      <c r="I87" s="1" t="s">
        <v>339</v>
      </c>
      <c r="J87" s="12" t="s">
        <v>340</v>
      </c>
      <c r="K87" s="12" t="s">
        <v>341</v>
      </c>
    </row>
    <row r="88" spans="1:11" x14ac:dyDescent="0.2">
      <c r="A88" s="1" t="s">
        <v>342</v>
      </c>
      <c r="B88" s="1">
        <v>2017</v>
      </c>
      <c r="C88" s="1" t="s">
        <v>343</v>
      </c>
      <c r="D88" s="8">
        <v>66</v>
      </c>
      <c r="E88" s="1" t="s">
        <v>344</v>
      </c>
      <c r="F88" s="1" t="s">
        <v>14</v>
      </c>
      <c r="G88" s="1" t="s">
        <v>15</v>
      </c>
      <c r="H88" s="9"/>
      <c r="I88" s="1" t="s">
        <v>21</v>
      </c>
      <c r="J88" s="12" t="s">
        <v>345</v>
      </c>
      <c r="K88" s="12" t="s">
        <v>346</v>
      </c>
    </row>
    <row r="89" spans="1:11" x14ac:dyDescent="0.2">
      <c r="A89" s="1" t="s">
        <v>347</v>
      </c>
      <c r="B89" s="1">
        <v>2005</v>
      </c>
      <c r="C89" s="1" t="s">
        <v>348</v>
      </c>
      <c r="D89" s="8">
        <v>32.97</v>
      </c>
      <c r="E89" s="1" t="s">
        <v>349</v>
      </c>
      <c r="F89" s="1" t="s">
        <v>14</v>
      </c>
      <c r="G89" s="1" t="s">
        <v>15</v>
      </c>
      <c r="H89" s="9"/>
      <c r="I89" s="1" t="s">
        <v>37</v>
      </c>
      <c r="J89" s="12" t="s">
        <v>350</v>
      </c>
      <c r="K89" s="12" t="s">
        <v>351</v>
      </c>
    </row>
    <row r="90" spans="1:11" x14ac:dyDescent="0.2">
      <c r="A90" s="1" t="s">
        <v>352</v>
      </c>
      <c r="B90" s="1">
        <v>2010</v>
      </c>
      <c r="C90" s="1" t="s">
        <v>353</v>
      </c>
      <c r="D90" s="8">
        <v>39</v>
      </c>
      <c r="E90" s="1" t="s">
        <v>349</v>
      </c>
      <c r="F90" s="1" t="s">
        <v>14</v>
      </c>
      <c r="G90" s="1" t="s">
        <v>15</v>
      </c>
      <c r="H90" s="9"/>
      <c r="I90" s="1" t="s">
        <v>16</v>
      </c>
      <c r="J90" s="12" t="s">
        <v>354</v>
      </c>
      <c r="K90" s="12" t="s">
        <v>355</v>
      </c>
    </row>
    <row r="91" spans="1:11" x14ac:dyDescent="0.2">
      <c r="A91" s="1" t="s">
        <v>356</v>
      </c>
      <c r="B91" s="1">
        <v>2011</v>
      </c>
      <c r="C91" s="1" t="s">
        <v>357</v>
      </c>
      <c r="D91" s="8">
        <v>32</v>
      </c>
      <c r="E91" s="1" t="s">
        <v>349</v>
      </c>
      <c r="F91" s="1" t="s">
        <v>14</v>
      </c>
      <c r="G91" s="1" t="s">
        <v>15</v>
      </c>
      <c r="H91" s="9"/>
      <c r="I91" s="1" t="s">
        <v>131</v>
      </c>
      <c r="J91" s="12" t="s">
        <v>358</v>
      </c>
      <c r="K91" s="12" t="s">
        <v>359</v>
      </c>
    </row>
    <row r="92" spans="1:11" x14ac:dyDescent="0.2">
      <c r="A92" s="1" t="s">
        <v>360</v>
      </c>
      <c r="B92" s="1">
        <v>2012</v>
      </c>
      <c r="C92" s="1" t="s">
        <v>361</v>
      </c>
      <c r="D92" s="8">
        <v>130</v>
      </c>
      <c r="E92" s="1" t="s">
        <v>349</v>
      </c>
      <c r="F92" s="1" t="s">
        <v>14</v>
      </c>
      <c r="G92" s="1" t="s">
        <v>15</v>
      </c>
      <c r="H92" s="9"/>
      <c r="I92" s="1" t="s">
        <v>21</v>
      </c>
      <c r="J92" s="12" t="s">
        <v>362</v>
      </c>
      <c r="K92" s="13" t="s">
        <v>363</v>
      </c>
    </row>
    <row r="93" spans="1:11" x14ac:dyDescent="0.2">
      <c r="A93" s="1" t="s">
        <v>364</v>
      </c>
      <c r="B93" s="1">
        <v>2017</v>
      </c>
      <c r="C93" s="1" t="s">
        <v>365</v>
      </c>
      <c r="D93" s="8">
        <v>46.42</v>
      </c>
      <c r="E93" s="1" t="s">
        <v>349</v>
      </c>
      <c r="F93" s="1" t="s">
        <v>14</v>
      </c>
      <c r="G93" s="1" t="s">
        <v>15</v>
      </c>
      <c r="H93" s="9"/>
      <c r="I93" s="1" t="s">
        <v>21</v>
      </c>
      <c r="J93" s="12" t="s">
        <v>366</v>
      </c>
      <c r="K93" s="12" t="s">
        <v>354</v>
      </c>
    </row>
    <row r="94" spans="1:11" x14ac:dyDescent="0.2">
      <c r="A94" s="1" t="s">
        <v>367</v>
      </c>
      <c r="B94" s="1">
        <v>2018</v>
      </c>
      <c r="C94" s="1" t="s">
        <v>368</v>
      </c>
      <c r="D94" s="8">
        <v>37.619999999999997</v>
      </c>
      <c r="E94" s="1" t="s">
        <v>349</v>
      </c>
      <c r="F94" s="1" t="s">
        <v>14</v>
      </c>
      <c r="G94" s="1" t="s">
        <v>15</v>
      </c>
      <c r="H94" s="9"/>
      <c r="I94" s="1" t="s">
        <v>103</v>
      </c>
      <c r="J94" s="12" t="s">
        <v>369</v>
      </c>
      <c r="K94" s="12" t="s">
        <v>351</v>
      </c>
    </row>
    <row r="95" spans="1:11" x14ac:dyDescent="0.2">
      <c r="A95" s="1" t="s">
        <v>370</v>
      </c>
      <c r="B95" s="1">
        <v>2022</v>
      </c>
      <c r="C95" s="1" t="s">
        <v>371</v>
      </c>
      <c r="D95" s="8">
        <v>192</v>
      </c>
      <c r="E95" s="1" t="s">
        <v>349</v>
      </c>
      <c r="F95" s="1" t="s">
        <v>14</v>
      </c>
      <c r="G95" s="1" t="s">
        <v>15</v>
      </c>
      <c r="H95" s="9"/>
      <c r="I95" s="1" t="s">
        <v>21</v>
      </c>
      <c r="J95" s="12" t="s">
        <v>372</v>
      </c>
      <c r="K95" s="9"/>
    </row>
    <row r="96" spans="1:11" x14ac:dyDescent="0.2">
      <c r="A96" s="1" t="s">
        <v>373</v>
      </c>
      <c r="B96" s="1">
        <v>2005</v>
      </c>
      <c r="C96" s="1" t="s">
        <v>374</v>
      </c>
      <c r="D96" s="8">
        <v>30</v>
      </c>
      <c r="E96" s="1" t="s">
        <v>375</v>
      </c>
      <c r="F96" s="1" t="s">
        <v>14</v>
      </c>
      <c r="G96" s="1" t="s">
        <v>15</v>
      </c>
      <c r="H96" s="9"/>
      <c r="I96" s="1" t="s">
        <v>51</v>
      </c>
      <c r="J96" s="12" t="s">
        <v>376</v>
      </c>
      <c r="K96" s="12" t="s">
        <v>377</v>
      </c>
    </row>
    <row r="97" spans="1:11" x14ac:dyDescent="0.2">
      <c r="A97" s="1" t="s">
        <v>378</v>
      </c>
      <c r="B97" s="1">
        <v>2007</v>
      </c>
      <c r="C97" s="1" t="s">
        <v>379</v>
      </c>
      <c r="D97" s="8">
        <v>45.99</v>
      </c>
      <c r="E97" s="1" t="s">
        <v>375</v>
      </c>
      <c r="F97" s="1" t="s">
        <v>14</v>
      </c>
      <c r="G97" s="1" t="s">
        <v>15</v>
      </c>
      <c r="H97" s="9"/>
      <c r="I97" s="1" t="s">
        <v>51</v>
      </c>
      <c r="J97" s="14" t="s">
        <v>380</v>
      </c>
      <c r="K97" s="14" t="s">
        <v>381</v>
      </c>
    </row>
    <row r="98" spans="1:11" x14ac:dyDescent="0.2">
      <c r="A98" s="1" t="s">
        <v>382</v>
      </c>
      <c r="B98" s="1">
        <v>2009</v>
      </c>
      <c r="C98" s="1" t="s">
        <v>383</v>
      </c>
      <c r="D98" s="8">
        <v>10</v>
      </c>
      <c r="E98" s="1" t="s">
        <v>375</v>
      </c>
      <c r="F98" s="1" t="s">
        <v>14</v>
      </c>
      <c r="G98" s="1" t="s">
        <v>36</v>
      </c>
      <c r="H98" s="9"/>
      <c r="I98" s="1" t="s">
        <v>41</v>
      </c>
      <c r="J98" s="12" t="s">
        <v>384</v>
      </c>
      <c r="K98" s="9"/>
    </row>
    <row r="99" spans="1:11" x14ac:dyDescent="0.2">
      <c r="A99" s="1" t="s">
        <v>385</v>
      </c>
      <c r="B99" s="1">
        <v>2009</v>
      </c>
      <c r="C99" s="1" t="s">
        <v>386</v>
      </c>
      <c r="D99" s="8">
        <v>100</v>
      </c>
      <c r="E99" s="1" t="s">
        <v>375</v>
      </c>
      <c r="F99" s="1" t="s">
        <v>14</v>
      </c>
      <c r="G99" s="1" t="s">
        <v>15</v>
      </c>
      <c r="H99" s="9"/>
      <c r="I99" s="1" t="s">
        <v>37</v>
      </c>
      <c r="J99" s="12" t="s">
        <v>384</v>
      </c>
      <c r="K99" s="9"/>
    </row>
    <row r="100" spans="1:11" x14ac:dyDescent="0.2">
      <c r="A100" s="1" t="s">
        <v>387</v>
      </c>
      <c r="B100" s="1">
        <v>2010</v>
      </c>
      <c r="C100" s="1" t="s">
        <v>388</v>
      </c>
      <c r="D100" s="8">
        <v>58.1</v>
      </c>
      <c r="E100" s="1" t="s">
        <v>375</v>
      </c>
      <c r="F100" s="1" t="s">
        <v>14</v>
      </c>
      <c r="G100" s="1" t="s">
        <v>15</v>
      </c>
      <c r="H100" s="9"/>
      <c r="I100" s="1" t="s">
        <v>51</v>
      </c>
      <c r="J100" s="12" t="s">
        <v>389</v>
      </c>
      <c r="K100" s="9"/>
    </row>
    <row r="101" spans="1:11" x14ac:dyDescent="0.2">
      <c r="A101" s="1" t="s">
        <v>390</v>
      </c>
      <c r="B101" s="1">
        <v>2010</v>
      </c>
      <c r="C101" s="1" t="s">
        <v>391</v>
      </c>
      <c r="D101" s="8">
        <v>340</v>
      </c>
      <c r="E101" s="1" t="s">
        <v>375</v>
      </c>
      <c r="F101" s="1" t="s">
        <v>14</v>
      </c>
      <c r="G101" s="1" t="s">
        <v>15</v>
      </c>
      <c r="H101" s="9"/>
      <c r="I101" s="1" t="s">
        <v>21</v>
      </c>
      <c r="J101" s="12" t="s">
        <v>392</v>
      </c>
      <c r="K101" s="9"/>
    </row>
    <row r="102" spans="1:11" x14ac:dyDescent="0.2">
      <c r="A102" s="1" t="s">
        <v>393</v>
      </c>
      <c r="B102" s="1">
        <v>2011</v>
      </c>
      <c r="C102" s="1" t="s">
        <v>394</v>
      </c>
      <c r="D102" s="8">
        <v>71.2</v>
      </c>
      <c r="E102" s="1" t="s">
        <v>375</v>
      </c>
      <c r="F102" s="1" t="s">
        <v>14</v>
      </c>
      <c r="G102" s="1" t="s">
        <v>15</v>
      </c>
      <c r="H102" s="9"/>
      <c r="I102" s="1" t="s">
        <v>395</v>
      </c>
      <c r="J102" s="12" t="s">
        <v>396</v>
      </c>
      <c r="K102" s="9"/>
    </row>
    <row r="103" spans="1:11" x14ac:dyDescent="0.2">
      <c r="A103" s="1" t="s">
        <v>397</v>
      </c>
      <c r="B103" s="1">
        <v>2013</v>
      </c>
      <c r="C103" s="1" t="s">
        <v>398</v>
      </c>
      <c r="D103" s="8">
        <v>300</v>
      </c>
      <c r="E103" s="1" t="s">
        <v>375</v>
      </c>
      <c r="F103" s="1" t="s">
        <v>14</v>
      </c>
      <c r="G103" s="1" t="s">
        <v>15</v>
      </c>
      <c r="H103" s="9"/>
      <c r="I103" s="1" t="s">
        <v>21</v>
      </c>
      <c r="J103" s="12" t="s">
        <v>399</v>
      </c>
      <c r="K103" s="9"/>
    </row>
    <row r="104" spans="1:11" x14ac:dyDescent="0.2">
      <c r="A104" s="1" t="s">
        <v>400</v>
      </c>
      <c r="B104" s="1">
        <v>2016</v>
      </c>
      <c r="C104" s="1" t="s">
        <v>401</v>
      </c>
      <c r="D104" s="8">
        <v>327</v>
      </c>
      <c r="E104" s="1" t="s">
        <v>375</v>
      </c>
      <c r="F104" s="1" t="s">
        <v>14</v>
      </c>
      <c r="G104" s="1" t="s">
        <v>15</v>
      </c>
      <c r="H104" s="9"/>
      <c r="I104" s="1" t="s">
        <v>21</v>
      </c>
      <c r="J104" s="12" t="s">
        <v>402</v>
      </c>
      <c r="K104" s="12" t="s">
        <v>403</v>
      </c>
    </row>
    <row r="105" spans="1:11" x14ac:dyDescent="0.2">
      <c r="A105" s="1" t="s">
        <v>404</v>
      </c>
      <c r="B105" s="1">
        <v>2017</v>
      </c>
      <c r="C105" s="1" t="s">
        <v>405</v>
      </c>
      <c r="D105" s="8">
        <v>326</v>
      </c>
      <c r="E105" s="1" t="s">
        <v>375</v>
      </c>
      <c r="F105" s="1" t="s">
        <v>14</v>
      </c>
      <c r="G105" s="1" t="s">
        <v>15</v>
      </c>
      <c r="H105" s="9"/>
      <c r="I105" s="1" t="s">
        <v>21</v>
      </c>
      <c r="J105" s="12" t="s">
        <v>406</v>
      </c>
      <c r="K105" s="12" t="s">
        <v>407</v>
      </c>
    </row>
    <row r="106" spans="1:11" x14ac:dyDescent="0.2">
      <c r="A106" s="1" t="s">
        <v>408</v>
      </c>
      <c r="B106" s="1">
        <v>2013</v>
      </c>
      <c r="C106" s="1" t="s">
        <v>409</v>
      </c>
      <c r="D106" s="8">
        <v>1000</v>
      </c>
      <c r="E106" s="1" t="s">
        <v>410</v>
      </c>
      <c r="F106" s="1" t="s">
        <v>411</v>
      </c>
      <c r="G106" s="1" t="s">
        <v>15</v>
      </c>
      <c r="H106" s="9"/>
      <c r="I106" s="1" t="s">
        <v>16</v>
      </c>
      <c r="J106" s="12" t="s">
        <v>412</v>
      </c>
      <c r="K106" s="12" t="s">
        <v>413</v>
      </c>
    </row>
    <row r="107" spans="1:11" x14ac:dyDescent="0.2">
      <c r="A107" s="1" t="s">
        <v>414</v>
      </c>
      <c r="B107" s="1">
        <v>2009</v>
      </c>
      <c r="C107" s="1" t="s">
        <v>415</v>
      </c>
      <c r="D107" s="8">
        <v>50</v>
      </c>
      <c r="E107" s="1" t="s">
        <v>416</v>
      </c>
      <c r="F107" s="1" t="s">
        <v>417</v>
      </c>
      <c r="G107" s="1" t="s">
        <v>36</v>
      </c>
      <c r="H107" s="9"/>
      <c r="I107" s="1" t="s">
        <v>51</v>
      </c>
      <c r="J107" s="12" t="s">
        <v>418</v>
      </c>
      <c r="K107" s="12" t="s">
        <v>419</v>
      </c>
    </row>
    <row r="108" spans="1:11" x14ac:dyDescent="0.2">
      <c r="A108" s="1" t="s">
        <v>420</v>
      </c>
      <c r="B108" s="1">
        <v>2008</v>
      </c>
      <c r="C108" s="1" t="s">
        <v>421</v>
      </c>
      <c r="D108" s="8">
        <v>140.5</v>
      </c>
      <c r="E108" s="1" t="s">
        <v>422</v>
      </c>
      <c r="F108" s="1" t="s">
        <v>14</v>
      </c>
      <c r="G108" s="1" t="s">
        <v>15</v>
      </c>
      <c r="H108" s="9"/>
      <c r="I108" s="1" t="s">
        <v>21</v>
      </c>
      <c r="J108" s="12" t="s">
        <v>423</v>
      </c>
      <c r="K108" s="9"/>
    </row>
    <row r="109" spans="1:11" x14ac:dyDescent="0.2">
      <c r="A109" s="1" t="s">
        <v>424</v>
      </c>
      <c r="B109" s="1">
        <v>2008</v>
      </c>
      <c r="C109" s="1" t="s">
        <v>425</v>
      </c>
      <c r="D109" s="8">
        <v>52</v>
      </c>
      <c r="E109" s="1" t="s">
        <v>422</v>
      </c>
      <c r="F109" s="1" t="s">
        <v>14</v>
      </c>
      <c r="G109" s="1" t="s">
        <v>15</v>
      </c>
      <c r="H109" s="9"/>
      <c r="I109" s="1" t="s">
        <v>21</v>
      </c>
      <c r="J109" s="12" t="s">
        <v>423</v>
      </c>
      <c r="K109" s="9"/>
    </row>
    <row r="110" spans="1:11" x14ac:dyDescent="0.2">
      <c r="A110" s="1" t="s">
        <v>426</v>
      </c>
      <c r="B110" s="1">
        <v>2012</v>
      </c>
      <c r="C110" s="1" t="s">
        <v>427</v>
      </c>
      <c r="D110" s="8">
        <v>47.3</v>
      </c>
      <c r="E110" s="1" t="s">
        <v>422</v>
      </c>
      <c r="F110" s="1" t="s">
        <v>14</v>
      </c>
      <c r="G110" s="1" t="s">
        <v>15</v>
      </c>
      <c r="H110" s="9"/>
      <c r="I110" s="1" t="s">
        <v>395</v>
      </c>
      <c r="J110" s="12" t="s">
        <v>428</v>
      </c>
      <c r="K110" s="12" t="s">
        <v>429</v>
      </c>
    </row>
    <row r="111" spans="1:11" x14ac:dyDescent="0.2">
      <c r="A111" s="1" t="s">
        <v>430</v>
      </c>
      <c r="B111" s="1">
        <v>2016</v>
      </c>
      <c r="C111" s="1" t="s">
        <v>431</v>
      </c>
      <c r="D111" s="8">
        <v>235</v>
      </c>
      <c r="E111" s="1" t="s">
        <v>422</v>
      </c>
      <c r="F111" s="1" t="s">
        <v>14</v>
      </c>
      <c r="G111" s="1" t="s">
        <v>15</v>
      </c>
      <c r="H111" s="9"/>
      <c r="I111" s="1" t="s">
        <v>51</v>
      </c>
      <c r="J111" s="12" t="s">
        <v>432</v>
      </c>
      <c r="K111" s="12" t="s">
        <v>433</v>
      </c>
    </row>
    <row r="112" spans="1:11" x14ac:dyDescent="0.2">
      <c r="A112" s="1" t="s">
        <v>434</v>
      </c>
      <c r="B112" s="1">
        <v>2016</v>
      </c>
      <c r="C112" s="1" t="s">
        <v>435</v>
      </c>
      <c r="D112" s="8">
        <v>98.48</v>
      </c>
      <c r="E112" s="1" t="s">
        <v>422</v>
      </c>
      <c r="F112" s="1" t="s">
        <v>14</v>
      </c>
      <c r="G112" s="1" t="s">
        <v>15</v>
      </c>
      <c r="H112" s="9"/>
      <c r="I112" s="1" t="s">
        <v>103</v>
      </c>
      <c r="J112" s="12" t="s">
        <v>432</v>
      </c>
      <c r="K112" s="12" t="s">
        <v>433</v>
      </c>
    </row>
    <row r="113" spans="1:11" x14ac:dyDescent="0.2">
      <c r="A113" s="1" t="s">
        <v>436</v>
      </c>
      <c r="B113" s="1">
        <v>2019</v>
      </c>
      <c r="C113" s="1" t="s">
        <v>437</v>
      </c>
      <c r="D113" s="8">
        <v>202.6</v>
      </c>
      <c r="E113" s="1" t="s">
        <v>422</v>
      </c>
      <c r="F113" s="1" t="s">
        <v>14</v>
      </c>
      <c r="G113" s="1" t="s">
        <v>15</v>
      </c>
      <c r="H113" s="9"/>
      <c r="I113" s="1" t="s">
        <v>21</v>
      </c>
      <c r="J113" s="12" t="s">
        <v>438</v>
      </c>
      <c r="K113" s="12" t="s">
        <v>439</v>
      </c>
    </row>
    <row r="114" spans="1:11" x14ac:dyDescent="0.2">
      <c r="A114" s="1" t="s">
        <v>440</v>
      </c>
      <c r="B114" s="1">
        <v>2011</v>
      </c>
      <c r="C114" s="1" t="s">
        <v>441</v>
      </c>
      <c r="D114" s="8">
        <v>32</v>
      </c>
      <c r="E114" s="1" t="s">
        <v>442</v>
      </c>
      <c r="F114" s="1" t="s">
        <v>14</v>
      </c>
      <c r="G114" s="1" t="s">
        <v>15</v>
      </c>
      <c r="H114" s="9"/>
      <c r="I114" s="1" t="s">
        <v>51</v>
      </c>
      <c r="J114" s="12" t="s">
        <v>443</v>
      </c>
      <c r="K114" s="12" t="s">
        <v>444</v>
      </c>
    </row>
    <row r="115" spans="1:11" x14ac:dyDescent="0.2">
      <c r="A115" s="1" t="s">
        <v>445</v>
      </c>
      <c r="B115" s="1">
        <v>2013</v>
      </c>
      <c r="C115" s="1" t="s">
        <v>446</v>
      </c>
      <c r="D115" s="8">
        <v>161</v>
      </c>
      <c r="E115" s="1" t="s">
        <v>442</v>
      </c>
      <c r="F115" s="1" t="s">
        <v>14</v>
      </c>
      <c r="G115" s="1" t="s">
        <v>15</v>
      </c>
      <c r="H115" s="9"/>
      <c r="I115" s="1" t="s">
        <v>395</v>
      </c>
      <c r="J115" s="12" t="s">
        <v>447</v>
      </c>
      <c r="K115" s="12" t="s">
        <v>448</v>
      </c>
    </row>
    <row r="116" spans="1:11" x14ac:dyDescent="0.2">
      <c r="A116" s="1" t="s">
        <v>449</v>
      </c>
      <c r="B116" s="1">
        <v>2013</v>
      </c>
      <c r="C116" s="1" t="s">
        <v>450</v>
      </c>
      <c r="D116" s="8">
        <v>85</v>
      </c>
      <c r="E116" s="1" t="s">
        <v>442</v>
      </c>
      <c r="F116" s="1" t="s">
        <v>14</v>
      </c>
      <c r="G116" s="1" t="s">
        <v>15</v>
      </c>
      <c r="H116" s="9"/>
      <c r="I116" s="1" t="s">
        <v>51</v>
      </c>
      <c r="J116" s="12" t="s">
        <v>447</v>
      </c>
      <c r="K116" s="12" t="s">
        <v>451</v>
      </c>
    </row>
    <row r="117" spans="1:11" x14ac:dyDescent="0.2">
      <c r="A117" s="1" t="s">
        <v>452</v>
      </c>
      <c r="B117" s="1">
        <v>2019</v>
      </c>
      <c r="C117" s="1" t="s">
        <v>453</v>
      </c>
      <c r="D117" s="8">
        <v>99.64</v>
      </c>
      <c r="E117" s="1" t="s">
        <v>442</v>
      </c>
      <c r="F117" s="1" t="s">
        <v>14</v>
      </c>
      <c r="G117" s="1" t="s">
        <v>15</v>
      </c>
      <c r="H117" s="9"/>
      <c r="I117" s="1" t="s">
        <v>37</v>
      </c>
      <c r="J117" s="12" t="s">
        <v>454</v>
      </c>
      <c r="K117" s="12" t="s">
        <v>455</v>
      </c>
    </row>
    <row r="118" spans="1:11" x14ac:dyDescent="0.2">
      <c r="A118" s="1" t="s">
        <v>456</v>
      </c>
      <c r="B118" s="1">
        <v>2021</v>
      </c>
      <c r="C118" s="1" t="s">
        <v>457</v>
      </c>
      <c r="D118" s="8">
        <v>204</v>
      </c>
      <c r="E118" s="1" t="s">
        <v>442</v>
      </c>
      <c r="F118" s="1" t="s">
        <v>14</v>
      </c>
      <c r="G118" s="1" t="s">
        <v>36</v>
      </c>
      <c r="H118" s="9"/>
      <c r="I118" s="1" t="s">
        <v>395</v>
      </c>
      <c r="J118" s="12" t="s">
        <v>458</v>
      </c>
      <c r="K118" s="12" t="s">
        <v>459</v>
      </c>
    </row>
    <row r="119" spans="1:11" x14ac:dyDescent="0.2">
      <c r="A119" s="1" t="s">
        <v>460</v>
      </c>
      <c r="B119" s="1">
        <v>2007</v>
      </c>
      <c r="C119" s="1" t="s">
        <v>461</v>
      </c>
      <c r="D119" s="8">
        <v>4000</v>
      </c>
      <c r="E119" s="1" t="s">
        <v>462</v>
      </c>
      <c r="F119" s="1" t="s">
        <v>463</v>
      </c>
      <c r="G119" s="1" t="s">
        <v>36</v>
      </c>
      <c r="H119" s="9"/>
      <c r="I119" s="1" t="s">
        <v>51</v>
      </c>
      <c r="J119" s="12" t="s">
        <v>464</v>
      </c>
      <c r="K119" s="12" t="s">
        <v>465</v>
      </c>
    </row>
    <row r="120" spans="1:11" x14ac:dyDescent="0.2">
      <c r="A120" s="1" t="s">
        <v>466</v>
      </c>
      <c r="B120" s="1">
        <v>2009</v>
      </c>
      <c r="C120" s="1" t="s">
        <v>467</v>
      </c>
      <c r="D120" s="8">
        <v>4000</v>
      </c>
      <c r="E120" s="1" t="s">
        <v>462</v>
      </c>
      <c r="F120" s="1" t="s">
        <v>463</v>
      </c>
      <c r="G120" s="1" t="s">
        <v>36</v>
      </c>
      <c r="H120" s="9"/>
      <c r="I120" s="1" t="s">
        <v>51</v>
      </c>
      <c r="J120" s="12" t="s">
        <v>465</v>
      </c>
      <c r="K120" s="12" t="s">
        <v>468</v>
      </c>
    </row>
    <row r="121" spans="1:11" x14ac:dyDescent="0.2">
      <c r="A121" s="1" t="s">
        <v>469</v>
      </c>
      <c r="B121" s="1">
        <v>2009</v>
      </c>
      <c r="C121" s="1" t="s">
        <v>470</v>
      </c>
      <c r="D121" s="8">
        <v>1000</v>
      </c>
      <c r="E121" s="1" t="s">
        <v>462</v>
      </c>
      <c r="F121" s="1" t="s">
        <v>471</v>
      </c>
      <c r="G121" s="1" t="s">
        <v>36</v>
      </c>
      <c r="H121" s="9"/>
      <c r="I121" s="1" t="s">
        <v>472</v>
      </c>
      <c r="J121" s="12" t="s">
        <v>473</v>
      </c>
      <c r="K121" s="9" t="s">
        <v>474</v>
      </c>
    </row>
    <row r="122" spans="1:11" x14ac:dyDescent="0.2">
      <c r="A122" s="1" t="s">
        <v>475</v>
      </c>
      <c r="B122" s="1">
        <v>2009</v>
      </c>
      <c r="C122" s="1" t="s">
        <v>476</v>
      </c>
      <c r="D122" s="8">
        <v>500</v>
      </c>
      <c r="E122" s="1" t="s">
        <v>462</v>
      </c>
      <c r="F122" s="1" t="s">
        <v>463</v>
      </c>
      <c r="G122" s="1" t="s">
        <v>36</v>
      </c>
      <c r="H122" s="9"/>
      <c r="I122" s="1" t="s">
        <v>51</v>
      </c>
      <c r="J122" s="12" t="s">
        <v>477</v>
      </c>
      <c r="K122" s="9"/>
    </row>
    <row r="123" spans="1:11" x14ac:dyDescent="0.2">
      <c r="A123" s="1" t="s">
        <v>478</v>
      </c>
      <c r="B123" s="1">
        <v>2010</v>
      </c>
      <c r="C123" s="1" t="s">
        <v>479</v>
      </c>
      <c r="D123" s="8">
        <v>589</v>
      </c>
      <c r="E123" s="1" t="s">
        <v>462</v>
      </c>
      <c r="F123" s="1" t="s">
        <v>480</v>
      </c>
      <c r="G123" s="1" t="s">
        <v>36</v>
      </c>
      <c r="H123" s="9"/>
      <c r="I123" s="1" t="s">
        <v>16</v>
      </c>
      <c r="J123" s="12" t="s">
        <v>477</v>
      </c>
      <c r="K123" s="12" t="s">
        <v>481</v>
      </c>
    </row>
    <row r="124" spans="1:11" x14ac:dyDescent="0.2">
      <c r="A124" s="1" t="s">
        <v>482</v>
      </c>
      <c r="B124" s="1">
        <v>2010</v>
      </c>
      <c r="C124" s="3" t="s">
        <v>483</v>
      </c>
      <c r="D124" s="8">
        <v>10000</v>
      </c>
      <c r="E124" s="1" t="s">
        <v>462</v>
      </c>
      <c r="F124" s="1" t="s">
        <v>14</v>
      </c>
      <c r="G124" s="1" t="s">
        <v>36</v>
      </c>
      <c r="H124" s="9"/>
      <c r="I124" s="1" t="s">
        <v>51</v>
      </c>
      <c r="J124" s="12" t="s">
        <v>477</v>
      </c>
      <c r="K124" s="9"/>
    </row>
    <row r="125" spans="1:11" x14ac:dyDescent="0.2">
      <c r="A125" s="1" t="s">
        <v>484</v>
      </c>
      <c r="B125" s="1">
        <v>2010</v>
      </c>
      <c r="C125" s="3" t="s">
        <v>485</v>
      </c>
      <c r="D125" s="8">
        <v>10000</v>
      </c>
      <c r="E125" s="1" t="s">
        <v>462</v>
      </c>
      <c r="F125" s="1" t="s">
        <v>14</v>
      </c>
      <c r="G125" s="1" t="s">
        <v>36</v>
      </c>
      <c r="H125" s="9"/>
      <c r="I125" s="1" t="s">
        <v>51</v>
      </c>
      <c r="J125" s="12" t="s">
        <v>477</v>
      </c>
      <c r="K125" s="9"/>
    </row>
    <row r="126" spans="1:11" x14ac:dyDescent="0.2">
      <c r="A126" s="1" t="s">
        <v>486</v>
      </c>
      <c r="B126" s="1">
        <v>2011</v>
      </c>
      <c r="C126" s="1" t="s">
        <v>487</v>
      </c>
      <c r="D126" s="8">
        <v>4000</v>
      </c>
      <c r="E126" s="1" t="s">
        <v>462</v>
      </c>
      <c r="F126" s="1" t="s">
        <v>463</v>
      </c>
      <c r="G126" s="1" t="s">
        <v>36</v>
      </c>
      <c r="H126" s="9"/>
      <c r="I126" s="1" t="s">
        <v>51</v>
      </c>
      <c r="J126" s="12" t="s">
        <v>477</v>
      </c>
      <c r="K126" s="12"/>
    </row>
    <row r="127" spans="1:11" x14ac:dyDescent="0.2">
      <c r="A127" s="1" t="s">
        <v>488</v>
      </c>
      <c r="B127" s="1">
        <v>2012</v>
      </c>
      <c r="C127" s="1" t="s">
        <v>489</v>
      </c>
      <c r="D127" s="8">
        <v>4000</v>
      </c>
      <c r="E127" s="1" t="s">
        <v>462</v>
      </c>
      <c r="F127" s="1" t="s">
        <v>463</v>
      </c>
      <c r="G127" s="1" t="s">
        <v>36</v>
      </c>
      <c r="H127" s="9"/>
      <c r="I127" s="1" t="s">
        <v>51</v>
      </c>
      <c r="J127" s="12" t="s">
        <v>477</v>
      </c>
      <c r="K127" s="12"/>
    </row>
    <row r="128" spans="1:11" x14ac:dyDescent="0.2">
      <c r="A128" s="1" t="s">
        <v>490</v>
      </c>
      <c r="B128" s="1">
        <v>2012</v>
      </c>
      <c r="C128" s="1" t="s">
        <v>491</v>
      </c>
      <c r="D128" s="8">
        <v>500</v>
      </c>
      <c r="E128" s="1" t="s">
        <v>462</v>
      </c>
      <c r="F128" s="1" t="s">
        <v>480</v>
      </c>
      <c r="G128" s="1" t="s">
        <v>36</v>
      </c>
      <c r="H128" s="9"/>
      <c r="I128" s="1" t="s">
        <v>16</v>
      </c>
      <c r="J128" s="12" t="s">
        <v>477</v>
      </c>
      <c r="K128" s="12"/>
    </row>
    <row r="129" spans="1:11" x14ac:dyDescent="0.2">
      <c r="A129" s="1" t="s">
        <v>492</v>
      </c>
      <c r="B129" s="1">
        <v>2013</v>
      </c>
      <c r="C129" s="1" t="s">
        <v>493</v>
      </c>
      <c r="D129" s="8">
        <v>4000</v>
      </c>
      <c r="E129" s="1" t="s">
        <v>462</v>
      </c>
      <c r="F129" s="1" t="s">
        <v>480</v>
      </c>
      <c r="G129" s="1" t="s">
        <v>36</v>
      </c>
      <c r="H129" s="9"/>
      <c r="I129" s="1" t="s">
        <v>16</v>
      </c>
      <c r="J129" s="12" t="s">
        <v>494</v>
      </c>
      <c r="K129" s="12" t="s">
        <v>495</v>
      </c>
    </row>
    <row r="130" spans="1:11" x14ac:dyDescent="0.2">
      <c r="A130" s="1" t="s">
        <v>496</v>
      </c>
      <c r="B130" s="1">
        <v>2013</v>
      </c>
      <c r="C130" s="1" t="s">
        <v>497</v>
      </c>
      <c r="D130" s="8">
        <v>391</v>
      </c>
      <c r="E130" s="1" t="s">
        <v>462</v>
      </c>
      <c r="F130" s="1" t="s">
        <v>480</v>
      </c>
      <c r="G130" s="1" t="s">
        <v>15</v>
      </c>
      <c r="H130" s="9"/>
      <c r="I130" s="1" t="s">
        <v>16</v>
      </c>
      <c r="J130" s="9" t="s">
        <v>498</v>
      </c>
      <c r="K130" s="9" t="s">
        <v>499</v>
      </c>
    </row>
    <row r="131" spans="1:11" x14ac:dyDescent="0.2">
      <c r="A131" s="1" t="s">
        <v>500</v>
      </c>
      <c r="B131" s="1">
        <v>2013</v>
      </c>
      <c r="C131" s="1" t="s">
        <v>501</v>
      </c>
      <c r="D131" s="8">
        <v>5000</v>
      </c>
      <c r="E131" s="1" t="s">
        <v>462</v>
      </c>
      <c r="F131" s="1" t="s">
        <v>463</v>
      </c>
      <c r="G131" s="1" t="s">
        <v>36</v>
      </c>
      <c r="H131" s="9"/>
      <c r="I131" s="1" t="s">
        <v>51</v>
      </c>
      <c r="J131" s="12" t="s">
        <v>477</v>
      </c>
      <c r="K131" s="12"/>
    </row>
    <row r="132" spans="1:11" x14ac:dyDescent="0.2">
      <c r="A132" s="1" t="s">
        <v>502</v>
      </c>
      <c r="B132" s="1">
        <v>2013</v>
      </c>
      <c r="C132" s="1" t="s">
        <v>503</v>
      </c>
      <c r="D132" s="8">
        <v>700</v>
      </c>
      <c r="E132" s="1" t="s">
        <v>462</v>
      </c>
      <c r="F132" s="1" t="s">
        <v>14</v>
      </c>
      <c r="G132" s="1" t="s">
        <v>36</v>
      </c>
      <c r="H132" s="9"/>
      <c r="I132" s="1" t="s">
        <v>472</v>
      </c>
      <c r="J132" s="12" t="s">
        <v>504</v>
      </c>
      <c r="K132" s="12" t="s">
        <v>505</v>
      </c>
    </row>
    <row r="133" spans="1:11" x14ac:dyDescent="0.2">
      <c r="A133" s="1" t="s">
        <v>506</v>
      </c>
      <c r="B133" s="1">
        <v>2014</v>
      </c>
      <c r="C133" s="1" t="s">
        <v>507</v>
      </c>
      <c r="D133" s="8">
        <v>4000</v>
      </c>
      <c r="E133" s="1" t="s">
        <v>462</v>
      </c>
      <c r="F133" s="1" t="s">
        <v>463</v>
      </c>
      <c r="G133" s="1" t="s">
        <v>15</v>
      </c>
      <c r="H133" s="9"/>
      <c r="I133" s="1" t="s">
        <v>51</v>
      </c>
      <c r="J133" s="12" t="s">
        <v>508</v>
      </c>
      <c r="K133" s="12" t="s">
        <v>509</v>
      </c>
    </row>
    <row r="134" spans="1:11" x14ac:dyDescent="0.2">
      <c r="A134" s="1" t="s">
        <v>510</v>
      </c>
      <c r="B134" s="1">
        <v>2014</v>
      </c>
      <c r="C134" s="1" t="s">
        <v>511</v>
      </c>
      <c r="D134" s="8">
        <v>1500</v>
      </c>
      <c r="E134" s="1" t="s">
        <v>462</v>
      </c>
      <c r="F134" s="1" t="s">
        <v>480</v>
      </c>
      <c r="G134" s="1" t="s">
        <v>36</v>
      </c>
      <c r="H134" s="9"/>
      <c r="I134" s="1" t="s">
        <v>16</v>
      </c>
      <c r="J134" s="1" t="s">
        <v>512</v>
      </c>
      <c r="K134" s="9" t="s">
        <v>513</v>
      </c>
    </row>
    <row r="135" spans="1:11" x14ac:dyDescent="0.2">
      <c r="A135" s="1" t="s">
        <v>514</v>
      </c>
      <c r="B135" s="1">
        <v>2015</v>
      </c>
      <c r="C135" s="1" t="s">
        <v>515</v>
      </c>
      <c r="D135" s="8">
        <v>5000</v>
      </c>
      <c r="E135" s="1" t="s">
        <v>462</v>
      </c>
      <c r="F135" s="1" t="s">
        <v>463</v>
      </c>
      <c r="G135" s="1" t="s">
        <v>36</v>
      </c>
      <c r="H135" s="9"/>
      <c r="I135" s="1" t="s">
        <v>51</v>
      </c>
      <c r="J135" s="12" t="s">
        <v>516</v>
      </c>
      <c r="K135" s="12" t="s">
        <v>517</v>
      </c>
    </row>
  </sheetData>
  <autoFilter ref="A2:K135" xr:uid="{B64D60F1-EAD3-1141-84A1-45402500D202}">
    <sortState xmlns:xlrd2="http://schemas.microsoft.com/office/spreadsheetml/2017/richdata2" ref="A3:K135">
      <sortCondition ref="A2:A135"/>
    </sortState>
  </autoFilter>
  <sortState xmlns:xlrd2="http://schemas.microsoft.com/office/spreadsheetml/2017/richdata2" ref="A3:K135">
    <sortCondition ref="E3:E135"/>
    <sortCondition ref="B3:B135"/>
    <sortCondition ref="A3:A135"/>
  </sortState>
  <hyperlinks>
    <hyperlink ref="K3" r:id="rId1" display="https://www.dropbox.com/s/wwq6tcidfnebtv3/China Eximbank Loan Agreement for Antigua New Power Plant.pdf?dl=0" xr:uid="{5DC2D7B4-2E4F-634E-9DF2-A8BB4B9A3410}"/>
    <hyperlink ref="J4" r:id="rId2" xr:uid="{8C208E87-7EA1-A74C-91C0-2FF0E22FFAF6}"/>
    <hyperlink ref="K4" r:id="rId3" xr:uid="{D4E647B1-890B-444E-AE97-09879F9E809E}"/>
    <hyperlink ref="J6" r:id="rId4" xr:uid="{8AF1B1EF-E4DF-404A-91AB-DFFA66632DAB}"/>
    <hyperlink ref="K6" r:id="rId5" xr:uid="{864D88A2-0D3E-E348-9DFD-FE3554A179C8}"/>
    <hyperlink ref="K7" r:id="rId6" xr:uid="{E5717F9A-D7B6-8546-ACB0-32E347069DC7}"/>
    <hyperlink ref="J7" r:id="rId7" display="https://web.archive.org/web/20231117144657/https:/www.argentina.gob.ar/sites/default/files/c_2023-05-08-argentina-china.pdf" xr:uid="{D519A746-10B6-204A-93FD-127E4BECB81F}"/>
    <hyperlink ref="K8" r:id="rId8" xr:uid="{DE37D661-FD6B-A24C-BB02-3F489F052F0F}"/>
    <hyperlink ref="J8" r:id="rId9" display="https://web.archive.org/web/20231117144657/https:/www.argentina.gob.ar/sites/default/files/c_2023-05-08-argentina-china.pdf" xr:uid="{01084BB5-E59B-354A-8E12-8709FFF222D0}"/>
    <hyperlink ref="J10" r:id="rId10" xr:uid="{E96217AD-902A-C649-BB3A-D911ED1B35F6}"/>
    <hyperlink ref="K10" r:id="rId11" display="https://web.archive.org/web/20231117144657/https:/www.argentina.gob.ar/sites/default/files/c_2023-05-08-argentina-china.pdf" xr:uid="{F9B24D5E-4A5E-9143-8ABF-8BE48116A076}"/>
    <hyperlink ref="J11" r:id="rId12" xr:uid="{F57C4ED2-DF4B-8540-B75D-C859F0B6430F}"/>
    <hyperlink ref="J12" r:id="rId13" xr:uid="{EDAC6999-D1CE-DF4E-BFFF-E60D23EF58FA}"/>
    <hyperlink ref="K12" r:id="rId14" xr:uid="{8E2E0776-281A-1B4E-93FB-93D702188415}"/>
    <hyperlink ref="J13" r:id="rId15" xr:uid="{03F89063-D059-C444-93B1-F281E28824A3}"/>
    <hyperlink ref="K13" r:id="rId16" xr:uid="{9F3EADA0-F684-BF4C-A060-9F5B90FB16FA}"/>
    <hyperlink ref="J15" r:id="rId17" display="https://web.archive.org/web/20230315161607/http:/english.scio.gov.cn/beltandroad/2018-09/03/content_61849761.htm" xr:uid="{55636ED1-1A5E-3343-A712-3FD98D6586EB}"/>
    <hyperlink ref="K16" r:id="rId18" display="https://web.archive.org/web/20170518041946/https:/www.infobae.com/economia/2017/05/17/el-bice-cerro-un-acuerdo-en-china-para-financiar-a-pymes-por-usd-150-millones/" xr:uid="{FDEB54DE-833F-E645-852D-364AA87ECC3D}"/>
    <hyperlink ref="J17" r:id="rId19" display="https://web.archive.org/web/20181201122452/http:/www.chinanews.com/cj/2018/11-30/8689718.shtml" xr:uid="{E50A35A9-B0CB-1F4E-B571-03AE03428214}"/>
    <hyperlink ref="J18" r:id="rId20" display="https://web.archive.org/web/20230313180752/https:/www.boletinoficial.gob.ar/detalleAviso/primera/202293/20190225" xr:uid="{CF968245-821E-4043-95C1-43CAAE829952}"/>
    <hyperlink ref="K18" r:id="rId21" display="https://web.archive.org/web/20230313180953/https:/www.latinfinance.com/daily-briefs/2019/2/26/china-finances-rolling-stock-in-argentina%29" xr:uid="{E80C3BEB-19A4-984B-9323-03850456E356}"/>
    <hyperlink ref="J20" r:id="rId22" display="https://web.archive.org/web/20160110154414/http:/bb.chineseembassy.org/eng/sgxw/t1317289.htm" xr:uid="{97A24C50-C9FB-484A-BBF2-490C65A20066}"/>
    <hyperlink ref="K20" r:id="rId23" display="https://www.dropbox.com/s/nw8ge8mumtsxq9r/2014 China Exim-Barbados Loan Agreement for Sam Lord%27s Hotel Project.pdf?dl=0" xr:uid="{7AEE4BA5-1523-0045-BEA0-2599BDF3BA12}"/>
    <hyperlink ref="J31" r:id="rId24" display="https://web.archive.org/web/20191203041906/https:/www.bcb.gob.bo/webdocs/informes_deudaexterna/Informe Anual 2018_14032019.pdf" xr:uid="{B8BA734F-8314-744A-8474-4E47D1F93609}"/>
    <hyperlink ref="J22" r:id="rId25" display="https://www.bcb.gob.bo/webdocs/informes_deudaexterna/Informe_Anual_2019_24012020_final.pdf" xr:uid="{FAE20625-B187-D64F-B6F9-47F7350D7CD3}"/>
    <hyperlink ref="J33" r:id="rId26" display="https://web.archive.org/web/20191203044949/https:/www.bcb.gob.bo/webdocs/publicacionesbcb/gestion2010_anexos.pdf" xr:uid="{25B890BB-986C-254D-BC06-A44518FB82A2}"/>
    <hyperlink ref="J23" r:id="rId27" display="https://web.archive.org/web/20200719001352/http:/cl2.mofcom.gov.cn/aarticle/chinanews/201112/20111207897388.html" xr:uid="{53AF35EC-76FF-E347-916D-85E9216EC7D4}"/>
    <hyperlink ref="J34" r:id="rId28" display="https://web.archive.org/web/20191203041906/https:/www.bcb.gob.bo/webdocs/informes_deudaexterna/Informe Anual 2018_14032019.pdf" xr:uid="{D94A5209-F52F-0643-97D8-D5DC4799E79C}"/>
    <hyperlink ref="K24" r:id="rId29" xr:uid="{D91D24FB-A7B7-D24C-9142-55AD5FD85957}"/>
    <hyperlink ref="J25" r:id="rId30" display="https://web.archive.org/web/20191203041906/https:/www.bcb.gob.bo/webdocs/informes_deudaexterna/Informe Anual 2018_14032019.pdf" xr:uid="{A4AE8C49-4A26-094B-93CC-C5B840228E71}"/>
    <hyperlink ref="K25" r:id="rId31" display="https://web.archive.org/web/20220127145323/https:/quepasamedia.com/noticias/mundo/sudamerica/eximbank-de-china-financia-con-un-credito-de-253-millones-carretera/" xr:uid="{E0FD7D4D-E2E9-504B-A26E-8CA5E3E367C0}"/>
    <hyperlink ref="J26" r:id="rId32" display="https://web.archive.org/web/20191203041906/https:/www.bcb.gob.bo/webdocs/informes_deudaexterna/Informe Anual 2018_14032019.pdf" xr:uid="{00688BEF-87AF-F547-925C-34DEA4F53EDF}"/>
    <hyperlink ref="K26" r:id="rId33" xr:uid="{5F647F9D-67A0-F74E-889C-E5980EA682BE}"/>
    <hyperlink ref="J28" r:id="rId34" xr:uid="{92121577-4827-8B47-A9C5-D381BD861E99}"/>
    <hyperlink ref="K28" r:id="rId35" xr:uid="{320B3FF0-F4CE-A544-9205-7C3590D5BC75}"/>
    <hyperlink ref="K29" r:id="rId36" xr:uid="{FC541703-823C-BA40-9F4D-CB0D77090F1C}"/>
    <hyperlink ref="J30" r:id="rId37" display="https://web.archive.org/web/20191203041906/https:/www.bcb.gob.bo/webdocs/informes_deudaexterna/Informe Anual 2018_14032019.pdf" xr:uid="{07203488-26EE-5A46-9633-E8BABA8DAE6B}"/>
    <hyperlink ref="J36" r:id="rId38" xr:uid="{79DC251D-1A8D-C740-8745-AD6402F75D93}"/>
    <hyperlink ref="K41" r:id="rId39" xr:uid="{536AF6AF-109D-FC43-B176-EBCE3A03E6CE}"/>
    <hyperlink ref="J41" r:id="rId40" display="https://web.archive.org/web/20231115211323/https:/www.semadesc.ms.gov.br/apos-anuncio-de-investimento-e-us-12-bilhao-maracaju-prepara-se-para-transformacao/" xr:uid="{54E0AA09-1790-8743-BAFD-218E5D4C8987}"/>
    <hyperlink ref="J43" r:id="rId41" xr:uid="{7975EB6C-BD7D-9B4E-A8F6-A3413D42ED2B}"/>
    <hyperlink ref="K43" r:id="rId42" display="https://web.archive.org/web/20230927200903/https:/www.reuters.com/article/petrobras-china-loan/petrobras-receives-900-mln-first-tranche-of-china-eximbank-loan-idINL2N1T12C1" xr:uid="{6AF7488B-1BC9-564B-9DB4-BA9811998F76}"/>
    <hyperlink ref="J44" r:id="rId43" display="https://web.archive.org/web/20171207040657/http:/www.ecns.cn/business/2017/12-07/283529.shtml" xr:uid="{CC39C8AD-7E0D-C84F-8A90-D6AD67CCA126}"/>
    <hyperlink ref="K44" r:id="rId44" display="https://web.archive.org/web/20170101083547/https:/petrobras.com.br/fatos-e-dados/recebemos-us-5-bilhoes-do-china-development-bank.htm" xr:uid="{73DEF171-E4B8-D541-A72D-B2764E81727D}"/>
    <hyperlink ref="J45" r:id="rId45" display="https://web.archive.org/web/20230315144737/http:/english.eximbank.gov.cn/News/NewsR/201807/t20180730_6762.html" xr:uid="{EDDC88DE-4C96-C544-A567-771FB39F4C5D}"/>
    <hyperlink ref="K45" r:id="rId46" display="https://web.archive.org/web/20240229233248/https:/api.mziq.com/mzfilemanager/v2/d/5760dff3-15e1-4962-9e81-322a0b3d0bbd/09955da0-2b96-56cb-71c5-190ec64b5fb2?origin=1" xr:uid="{B871E832-238F-DE4D-889C-6703FD24712B}"/>
    <hyperlink ref="J46" r:id="rId47" display="https://web.archive.org/web/20230124233414/https:/www.sec.gov/Archives/edgar/data/1119639/000129281421001152/pbraform20f_2020.htm" xr:uid="{D6B76701-E1B2-D14F-BEC2-4C246B4406ED}"/>
    <hyperlink ref="J48" r:id="rId48" display="https://web.archive.org/web/20231026175230/https:/www.bndes.gov.br/wps/portal/site/home/imprensa/noticias/conteudo/bndes-e-banco-de-desenvolvimento-chines-assinam-acordo-de-uss-1-3-bilhao -para-infraestrutura-e-economia-verde-no-brasil" xr:uid="{EE7AA72E-5BA4-3346-BFF6-CD5CCFD39401}"/>
    <hyperlink ref="J49" r:id="rId49" display="https://web.archive.org/web/20231026175230/https:/www.bndes.gov.br/wps/portal/site/home/imprensa/noticias/conteudo/bndes-e-banco-de-desenvolvimento-chines-assinam-acordo-de-uss-1-3-bilhao -para-infraestrutura-e-economia-verde-no-brasil" xr:uid="{CEC6D52B-C9AA-9D4A-8B59-F5C10B85E9B3}"/>
    <hyperlink ref="K49" r:id="rId50" xr:uid="{A883ECCD-2EEA-234C-B756-CE3159692108}"/>
    <hyperlink ref="J50" r:id="rId51" display="http://bs.china-embassy.org/chn/sbgx/t804245.htm" xr:uid="{9C6BCC59-B39B-AE4F-BFB4-86682AAFA57E}"/>
    <hyperlink ref="K50" r:id="rId52" display="https://web.archive.org/web/20240221223857/http:/bf.mofcom.gov.cn/article/todayheader/201312/20131200442873.shtml" xr:uid="{2F5F0824-72F4-B342-AAF0-9D9E90B05D9A}"/>
    <hyperlink ref="J52" r:id="rId53" display="https://www.dropbox.com/s/cemcy1xv0jstun9/2008 CDB Loan Agreement with Costa Rica.pdf?dl=0" xr:uid="{22C4EB97-B952-7E4F-B4F3-3F398603E109}"/>
    <hyperlink ref="J53" r:id="rId54" display="https://web.archive.org/web/20210816165712/http:/www.pgrweb.go.cr/scij/Busqueda/Normativa/Normas/nrm_texto_completo.aspx?param1=NRTC&amp;param2=1&amp;nValor1=1&amp;nValor2=79369&amp;nValor3=100344&amp;strTipM=TC&amp;lResultado=3&amp;nValor4=1&amp;strSelect=sel" xr:uid="{D881D675-B700-4443-90FE-55C03AC4A393}"/>
    <hyperlink ref="K54" r:id="rId55" xr:uid="{B9987B1A-A056-8A4A-B86F-291778733DE8}"/>
    <hyperlink ref="J54" r:id="rId56" display="https://web.archive.org/web/20210816165712/http:/www.pgrweb.go.cr/scij/Busqueda/Normativa/Normas/nrm_texto_completo.aspx?param1=NRTC&amp;param2=1&amp;nValor1=1&amp;nValor2=79369&amp;nValor3=100344&amp;strTipM=TC&amp;lResultado=3&amp;nValor4=1&amp;strSelect=sel" xr:uid="{3A38130E-D321-264D-B7ED-A149C85EDE6B}"/>
    <hyperlink ref="J55" r:id="rId57" display="https://web.archive.org/web/20231020015357/http:/www.mofcom.gov.cn/dl/gbdqzn/upload/gesidalijia.pdf" xr:uid="{0EE60F18-50CB-5E41-A6CF-1CBF8A815052}"/>
    <hyperlink ref="K55" r:id="rId58" display="https://web.archive.org/web/20240226203800/https:/www.bncr.fi.cr/_cache_42a2/content/1609240000215132.pdf" xr:uid="{770D721E-CD14-6A47-97F8-AD5233ADFA47}"/>
    <hyperlink ref="J56" r:id="rId59" display="https://drive.google.com/file/d/1mqKvIXoeh60Gwec5CLpgyfOsaui8BgUE/view?usp=drive_link" xr:uid="{0C9E12C2-5FA5-0447-808A-A315F36C98A9}"/>
    <hyperlink ref="J58" r:id="rId60" display="https://web.archive.org/web/20160620213437/http:/spanish.peopledaily.com.cn/n3/2016/0619/c31617-9074269.html" xr:uid="{C9F938D5-B1A4-6C4D-AE04-090735C0A12C}"/>
    <hyperlink ref="K58" r:id="rId61" xr:uid="{24FC7E58-B442-4B48-9395-D6DE25EA5607}"/>
    <hyperlink ref="J59" r:id="rId62" display="https://web.archive.org/web/20230315142607/http:/www.gov.cn/xinwen/2019-11/01/content_5447313.htm" xr:uid="{00AE4087-A2E7-5344-A938-19E881019A92}"/>
    <hyperlink ref="J60" r:id="rId63" xr:uid="{03D9560C-13BF-3040-9545-C83A31D35219}"/>
    <hyperlink ref="J61" r:id="rId64" display="https://www.finanzas.gob.ec/wp-content/uploads/downloads/2022/11/Coca-Codo-Amendment-Agreement-to-Buyer-Credit-Loan-Agreement-E_13103807_1.pdf" xr:uid="{E50C531B-1D93-5743-8F51-FE38D9D1BB56}"/>
    <hyperlink ref="K61" r:id="rId65" xr:uid="{11D46353-8563-BA4A-BEDF-18A91CA95C68}"/>
    <hyperlink ref="J62" r:id="rId66" display="https://web.archive.org/web/20221230141449/https:/www.finanzas.gob.ec/wp-content/uploads/downloads/2020/08/1.2-Facility-Agreement-CDB-I.pdf" xr:uid="{B3B90695-ED3A-7245-AB2D-F9E165E53B9A}"/>
    <hyperlink ref="K62" r:id="rId67" display="https://web.archive.org/web/20221230141520/https:/www.finanzas.gob.ec/wp-content/uploads/downloads/2020/08/1.1-Four-Party-Agreement-CDB-I.pdf" xr:uid="{11820E1B-A144-B840-8A94-693CC126BB22}"/>
    <hyperlink ref="K63" r:id="rId68" xr:uid="{BEF03B78-8B57-9049-8FB7-A125F48A348C}"/>
    <hyperlink ref="J63" r:id="rId69" xr:uid="{3A15861D-F382-E149-A10E-10CFE525A765}"/>
    <hyperlink ref="J65" r:id="rId70" display="https://web.archive.org/web/20240211021118/https:/publicadministration.un.org/unpsa/Portals/0/UNPSA_Submitted_Docs/Informe de Ejecuci%C3%B3n del Proyecto Sistema de Comando y Control.pdf?ver=2018-11-30-213315-317" xr:uid="{AD300D8C-0084-2F4D-B522-B667A2DDBE01}"/>
    <hyperlink ref="J69" r:id="rId71" display="http://web.archive.org/web/20110809095433/http:/andes.info.ec/economia/usd-2-000-millones-de-credito-chino-seran-para-financiar-proyectos-hidroelectricos-y-de-riego-72135.html" xr:uid="{7B81BCC3-8B67-B64E-B833-C5307CBC6918}"/>
    <hyperlink ref="J66" r:id="rId72" display="https://www.finanzas.gob.ec/wp-content/uploads/downloads/2020/08/1.2-Facility-Agreement-dated-27-June-2011-CDB-II.pdf;" xr:uid="{EC368959-70AB-3A4A-A4A5-51D6A10CD498}"/>
    <hyperlink ref="K66" r:id="rId73" xr:uid="{F32F1014-FA88-1140-87A8-68FB661FD3AE}"/>
    <hyperlink ref="J67" r:id="rId74" display="https://web.archive.org/web/20230212234741/https:/www.dusselpeters.com/130.pdf" xr:uid="{66E7CBF5-DD5E-E942-A5F9-E21211B438CF}"/>
    <hyperlink ref="K67" r:id="rId75" display="https://web.archive.org/web/20240211021622/https:/www.celec.gob.ec/images/pdf/pai-2012.pdf" xr:uid="{30965C09-23FC-F145-AD34-C6042300BCF5}"/>
    <hyperlink ref="K68" r:id="rId76" display="http://web.archive.org/web/20110809095433/http:/andes.info.ec/economia/usd-2-000-millones-de-credito-chino-seran-para-financiar-proyectos-hidroelectricos-y-de-riego-72135.html" xr:uid="{10EAC5CC-F2D2-8641-84C0-D11BF9B5E192}"/>
    <hyperlink ref="K70" r:id="rId77" xr:uid="{B67C2A17-5056-A341-83E6-8D22C430ECA8}"/>
    <hyperlink ref="J70" r:id="rId78" display="https://web.archive.org/web/20221230141337/https:/www.finanzas.gob.ec/wp-content/uploads/downloads/2020/08/1.2-Facility-Agreement-dated-27-June-2011-CDB-II.pdf" xr:uid="{64F6BD6E-1103-EE44-9AFA-2BEF65F4C487}"/>
    <hyperlink ref="J71" r:id="rId79" display="https://web.archive.org/web/20240211021118/https:/publicadministration.un.org/unpsa/Portals/0/UNPSA_Submitted_Docs/Informe de Ejecuci%C3%B3n del Proyecto Sistema de Comando y Control.pdf?ver=2018-11-30-213315-317" xr:uid="{08D6F995-46D5-8E47-85FA-84F00BD28994}"/>
    <hyperlink ref="K72" r:id="rId80" xr:uid="{D1FD386C-57DA-D54C-8BCF-85E88F054B98}"/>
    <hyperlink ref="J72" r:id="rId81" xr:uid="{9E05B65D-C97C-8E48-B706-37BC05200A6E}"/>
    <hyperlink ref="J73" r:id="rId82" xr:uid="{50438938-BF0F-1D48-AF7A-4B401AE09C0A}"/>
    <hyperlink ref="K73" r:id="rId83" xr:uid="{29F410BF-AB70-F145-A5CC-044FA7EABFD8}"/>
    <hyperlink ref="J86" r:id="rId84" xr:uid="{54E50D7D-AACB-C140-B114-64729D1AB868}"/>
    <hyperlink ref="K86" r:id="rId85" xr:uid="{CBF5AA49-2CF8-3146-BB4D-E7C10B273E7A}"/>
    <hyperlink ref="J74" r:id="rId86" display="https://www.finanzas.gob.ec/wpcontent/uploads/downloads/2022/11/500KvTransmission-Amendment-Agreement-to-Buyer-Credit-Loan-Agr_13103773_1.pdf;http:/www.laht.com/article.aspArticleId=2358699&amp;CategoryId=14089;http:/www.eximbank.gov.cn/tm/Newlist/index_343_26785.html" xr:uid="{C5DCB31B-82BE-4B4C-B97A-F368CA97FB93}"/>
    <hyperlink ref="J87" r:id="rId87" display="https://www.dropbox.com/s/npl1draoc4oghzu/2016 China Eximbank Loan for Santa Elene Aqueduct Hydraulic Plan Stage One Project.pdf?dl=0" xr:uid="{AE6903DD-30FC-5A49-8473-2514676D5C27}"/>
    <hyperlink ref="K87" r:id="rId88" xr:uid="{16A78206-DED1-1644-A25F-B0B0CCE8C510}"/>
    <hyperlink ref="J75" r:id="rId89" xr:uid="{81D9E0BF-A1C0-2841-A6AC-2754E8F64887}"/>
    <hyperlink ref="K75" r:id="rId90" xr:uid="{804B919C-1A7D-6747-893E-DDE5C7EC64D1}"/>
    <hyperlink ref="J76" r:id="rId91" xr:uid="{570B695C-0C85-F042-B0A6-1F5201D91691}"/>
    <hyperlink ref="K76" r:id="rId92" xr:uid="{6E8C4F44-24C5-A742-B86A-14FC628AAED0}"/>
    <hyperlink ref="J77" r:id="rId93" xr:uid="{9A9A3CD2-DB05-BD45-99B6-1D86B36035A5}"/>
    <hyperlink ref="K77" r:id="rId94" xr:uid="{0C9D7001-883E-B949-AD6B-D87D7075BF3A}"/>
    <hyperlink ref="J78" r:id="rId95" display="https://www.dropbox.com/s/bdxss8mioutueig/2019 Bond Prospectus Government of Ecuador.pdf?dl=0" xr:uid="{20F3DAE8-F7C4-344C-8409-F0B76E122A3C}"/>
    <hyperlink ref="K78" r:id="rId96" xr:uid="{FED9A24E-3DD0-4744-8676-126063C370B5}"/>
    <hyperlink ref="J79" r:id="rId97" display="https://www.dropbox.com/s/bdxss8mioutueig/2019 Bond Prospectus Government of Ecuador.pdf?dl=0" xr:uid="{383071B2-24F2-D249-9F9C-A817F5D49CB8}"/>
    <hyperlink ref="K79" r:id="rId98" xr:uid="{DB22632D-CE74-BB43-A87B-FE81A3D85958}"/>
    <hyperlink ref="J80" r:id="rId99" display="https://web.archive.org/web/20240211020002/https:/www.obraspublicas.gob.ec/en-guaranda-se-inicia-la-construccion-de-su-emblematico-paso-lateral/" xr:uid="{DEF8BC60-F643-5640-8A96-C5647E627381}"/>
    <hyperlink ref="K80" r:id="rId100" display="https://web.archive.org/web/20220302062845/https:/www.obraspublicas.gob.ec/wp-content/uploads/downloads/2020/02/LOTAIP_1_PAI-corte-31-de-ENERO-2020.pdf" xr:uid="{19ADF1F7-3D21-BD44-844E-FBC7143B66A4}"/>
    <hyperlink ref="J81" r:id="rId101" display="https://web.archive.org/web/20221230140859/https:/www.finanzas.gob.ec/wp-content/uploads/downloads/2022/11/Amendment-Agreement-No.-2-to-Phase-V-Facility-Agreement-Executed.pdf" xr:uid="{2CB31A19-5D2C-5B4F-BD95-CC46303AC2E5}"/>
    <hyperlink ref="K81" r:id="rId102" display="https://web.archive.org/web/20221225141902/https:/www.reuters.com/article/ecuador-debt-china/ecuador-clinches-900-mln-loan-from-china-moreno-idUSL1N1YH0YJ" xr:uid="{3953DBC6-F32D-3142-B99C-DBD4E613F438}"/>
    <hyperlink ref="J82" r:id="rId103" xr:uid="{2438AEDC-0782-D84C-9642-8405423B98EA}"/>
    <hyperlink ref="K82" r:id="rId104" display="https://web.archive.org/web/20180224003901/http:/www.finanzas.gob.ec/wp-content/uploads/downloads/2016/12/DE_NOVIEMBRE-2016.pdf" xr:uid="{46B3F247-461B-4A43-9E61-EB1D0D83794E}"/>
    <hyperlink ref="J83" r:id="rId105" display="https://web.archive.org/save/https:/www.finanzas.gob.ec/wp-content/uploads/downloads/2020/07/Literal-l-LOTAIP-Contratos-de-cre%CC%81dito-externos-o-internos-2018-2020-MAYO.pdf" xr:uid="{619B1C08-7C4C-514D-AB90-D96A3CA88982}"/>
    <hyperlink ref="K83" r:id="rId106" xr:uid="{3E245005-67CF-784E-8E07-4F1EAA294D57}"/>
    <hyperlink ref="J84" r:id="rId107" display="https://web.archive.org/save/https:/www.finanzas.gob.ec/wp-content/uploads/downloads/2020/07/Literal-l-LOTAIP-Contratos-de-cre%CC%81dito-externos-o-internos-2018-2020-MAYO.pdf" xr:uid="{C13A9C29-3314-D141-B664-41D35AE71F2F}"/>
    <hyperlink ref="K84" r:id="rId108" xr:uid="{3AB267B3-A405-CC43-9324-24AF655A7C28}"/>
    <hyperlink ref="J88" r:id="rId109" display="https://web.archive.org/web/20230315142304/https:/www.fmprc.gov.cn/eng/wjb_663304/zwjg_665342/zwbd_665378/202010/t20201030_629541.html" xr:uid="{82ADE3AE-D783-2C40-9E2B-0DD37F6D22C1}"/>
    <hyperlink ref="K88" r:id="rId110" display="https://web.archive.org/web/20210526220528/https:/www.nationnews.com/2021/05/26/grenada-receiving-funds-china-airport-development/" xr:uid="{FE57CFE2-5C9E-1C44-8723-40FD7DD2149B}"/>
    <hyperlink ref="J89" r:id="rId111" display="https://web.archive.org/web/20240229192757/http:/news.sina.com.cn/c/2004-12-14/14024520537s.shtml" xr:uid="{94CEAFB2-4B8A-9E45-94FF-1C97E1408DF0}"/>
    <hyperlink ref="K89" r:id="rId112" display="https://web.archive.org/web/20221124020122/https:/finance.gov.gy/wp-content/uploads/2021/05/Public-Debt-Annual-Report-2020-The-Cooperative-Republic-of-Guyana.pdf" xr:uid="{7772C9B7-6968-FF43-BD74-78B6F4E6D1BE}"/>
    <hyperlink ref="J90" r:id="rId113" display="https://web.archive.org/web/20220122014643/https:/finance.gov.gy/wp-content/uploads/Public-Debt-Annual-Report-2017-to-be-published-on-line.pdf" xr:uid="{C7CFC15E-CAD8-1B40-9EA6-463D5DDA839F}"/>
    <hyperlink ref="K90" r:id="rId114" display="https://web.archive.org/web/20220811021452/https:/parliament.gov.gy/documents/acts/4147-gpl_2012_annual_report.pdf" xr:uid="{DD3E00D4-92B9-BC41-AE67-CB4E4F4BB9D1}"/>
    <hyperlink ref="J91" r:id="rId115" xr:uid="{3A2E6BEE-DF30-E047-8D6D-4240DC035961}"/>
    <hyperlink ref="J92" r:id="rId116" xr:uid="{2B5443BF-F81C-FF46-A108-C11EE1E0ED38}"/>
    <hyperlink ref="J93" r:id="rId117" display="https://web.archive.org/web/20240222025337/https:/s3.documentcloud.org/documents/20488285/guy_2016_480.pdf" xr:uid="{7660A554-00ED-A54E-B1E6-65631B8FB7CF}"/>
    <hyperlink ref="K93" r:id="rId118" display="https://web.archive.org/web/20220122014643/https:/finance.gov.gy/wp-content/uploads/Public-Debt-Annual-Report-2017-to-be-published-on-line.pdf" xr:uid="{5C6847DF-C1B7-6E49-AB95-79D6D161F05B}"/>
    <hyperlink ref="J94" r:id="rId119" display="https://web.archive.org/web/20220623045401/https:/parliament.gov.gy/documents/hansards/99th_sitting_-_eleventh_parliament.pdf" xr:uid="{BF6F3A94-E2EB-504D-B28C-01ECEB663CCE}"/>
    <hyperlink ref="K94" r:id="rId120" display="https://web.archive.org/web/20221124020122/https:/finance.gov.gy/wp-content/uploads/2021/05/Public-Debt-Annual-Report-2020-The-Cooperative-Republic-of-Guyana.pdf" xr:uid="{AE87ABF1-6E10-5B48-99AB-ACFD016A3D26}"/>
    <hyperlink ref="J95" r:id="rId121" display="https://web.archive.org/web/20221230230051/https:/dpi.gov.gy/us192-million-phase-2-east-coast-road-project-to-commence-under-governments-expansive-aggressive-transport-infrastructure-initiative/" xr:uid="{053E1856-2FA8-B148-83E2-6A72404EFE24}"/>
    <hyperlink ref="J96" r:id="rId122" xr:uid="{D5573F1C-AB61-2348-BEBB-8583CC9B1E72}"/>
    <hyperlink ref="J97" r:id="rId123" xr:uid="{4892E4F4-D10B-1547-BF78-78A610579272}"/>
    <hyperlink ref="J98" r:id="rId124" display="http://web.archive.org/web/20150425120416/http:/jis.gov.jm/china-extends-over-10-billion-in-aid-to-jamaica/" xr:uid="{DF41A74A-533A-5140-AB6F-A28A9FAAD1B4}"/>
    <hyperlink ref="J99" r:id="rId125" display="http://web.archive.org/web/20150425120416/http:/jis.gov.jm/china-extends-over-10-billion-in-aid-to-jamaica/" xr:uid="{16680461-B2B0-6247-A22D-383FBC2E60AC}"/>
    <hyperlink ref="J100" r:id="rId126" xr:uid="{DE80CB03-F89E-504F-BA20-110FB0F3813A}"/>
    <hyperlink ref="J101" r:id="rId127" display="http://web.archive.org/web/20221223143004/https:/auditorgeneral.gov.jm/wp-content/uploads/2016/09/JDIP_Special_Audit_Report.pdf" xr:uid="{42C9F8E2-006F-3143-8FC0-2B2510DE7C72}"/>
    <hyperlink ref="J102" r:id="rId128" display="http://web.archive.org/web/20201128195008/https:/jis.gov.jm/china-communications-construction-company-gets-green-light/" xr:uid="{E2E322F8-C6CE-314A-B7A5-459455DCA394}"/>
    <hyperlink ref="J103" r:id="rId129" xr:uid="{FB4CA27D-803E-5341-9533-38F71E922A6F}"/>
    <hyperlink ref="J104" r:id="rId130" xr:uid="{519C6A91-20E4-644B-BB9F-CBE393667395}"/>
    <hyperlink ref="K104" r:id="rId131" xr:uid="{B67C620D-C556-FB44-BF1C-9AF629228275}"/>
    <hyperlink ref="J105" r:id="rId132" display="https://web.archive.org/web/20200222104819/http:/en.people.cn/n3/2017/0223/c90000-9181728.html" xr:uid="{3E33153D-7C5C-AE43-9290-705652C454E4}"/>
    <hyperlink ref="K105" r:id="rId133" display="https://web.archive.org/web/20230208123724/https:/opm.gov.jm/news/prime-minister-andrew-holness-urges-patience-as-intensive-work-on-the-st-thomas-leg-of-the-southern-coastal-highway-improvement-project-continues/" xr:uid="{2F3A7547-8FE2-B941-943D-3C2EB8E31B68}"/>
    <hyperlink ref="J107" r:id="rId134" xr:uid="{2D315710-D4D3-B446-B503-56DF186CD541}"/>
    <hyperlink ref="J108" r:id="rId135" xr:uid="{50026A44-3E1E-0547-9B9B-B1D2B5D41BE4}"/>
    <hyperlink ref="J109" r:id="rId136" xr:uid="{41E13343-283A-2240-8736-56006B16B499}"/>
    <hyperlink ref="J110" r:id="rId137" xr:uid="{F06A1289-3F49-004D-AC30-21DBAE0D1593}"/>
    <hyperlink ref="K110" r:id="rId138" xr:uid="{C8D4846C-6ED6-994D-811A-B39F8073BF6F}"/>
    <hyperlink ref="J111" r:id="rId139" xr:uid="{60BCCCF7-41F9-6744-9830-EEDAD0B648C2}"/>
    <hyperlink ref="J113" r:id="rId140" display="https://web.archive.org/web/20191213205253/http:/www.xinhuanet.com/money/2019-11/29/c_1210375140.htm" xr:uid="{5DF29302-A71E-8541-B804-F10161D88418}"/>
    <hyperlink ref="K113" r:id="rId141" display="https://web.archive.org/web/20200926024358/https:/www.sdmo.org/images/Leningen/foreign_loan_agreements_2019.pdf" xr:uid="{235F90D8-A7FC-8B41-974F-DC2F24BD26A3}"/>
    <hyperlink ref="J114" r:id="rId142" xr:uid="{BE47B3AB-3F43-6C42-B325-AE90DADB5D90}"/>
    <hyperlink ref="K114" r:id="rId143" xr:uid="{F68A7E07-10C9-7440-9C60-6300C18D44F0}"/>
    <hyperlink ref="J115" r:id="rId144" display="http://web.archive.org/web/20231104222810/https:/www.central-bank.org.tt/sites/default/files/latest-news/Updated Sept 10 2013 - EB July 2013.pdf" xr:uid="{55647047-A7FF-2949-A6F4-C9A8E9C04038}"/>
    <hyperlink ref="K115" r:id="rId145" xr:uid="{311BC896-52F7-B14A-8966-B0875EF9C856}"/>
    <hyperlink ref="J116" r:id="rId146" display="http://web.archive.org/web/20231104222810/https:/www.central-bank.org.tt/sites/default/files/latest-news/Updated Sept 10 2013 - EB July 2013.pdf" xr:uid="{4A0EC4A3-38F4-6842-A611-5F4D93E23DAD}"/>
    <hyperlink ref="K116" r:id="rId147" display="http://web.archive.org/web/20130319235005/http:/www.newsday.co.tt/news/0,174909.html" xr:uid="{9772BF9E-C1AC-6944-8CD7-225AA8C5E801}"/>
    <hyperlink ref="J117" r:id="rId148" display="https://web.archive.org/web/20220619192730/https:/auditorgeneral.gov.tt/sites/default/files/VOL-I-Accounts-of-the-Treasury.pdf" xr:uid="{33EC7C3F-E741-C54C-A8A3-D86F87120AF6}"/>
    <hyperlink ref="J118" r:id="rId149" xr:uid="{07FCA5FB-8F2D-4C4F-8DE6-66C9CC995141}"/>
    <hyperlink ref="J119" r:id="rId150" display="http://policy.mofcom.gov.cn/pact/pactContent.shtml?id=2373" xr:uid="{68685EF1-F0C7-0041-8B07-556BD5621B06}"/>
    <hyperlink ref="J122" r:id="rId151" display="http://web.archive.org/web/20210712081545/https:/www.sec.gov/Archives/edgar/data/103198/000119312515333744/d83375dex99d.htm" xr:uid="{D5BAF653-1902-DD43-87D0-C513D90B79EA}"/>
    <hyperlink ref="J124" r:id="rId152" display="http://web.archive.org/web/20210712081545/https:/www.sec.gov/Archives/edgar/data/103198/000119312515333744/d83375dex99d.htm" xr:uid="{31E50CA5-43A6-7A46-9F9C-480A0948FC60}"/>
    <hyperlink ref="J125" r:id="rId153" display="http://web.archive.org/web/20210712081545/https:/www.sec.gov/Archives/edgar/data/103198/000119312515333744/d83375dex99d.htm" xr:uid="{C99582FF-0866-1748-AB09-1EEC1FAE560C}"/>
    <hyperlink ref="J129" r:id="rId154" display="http://web.archive.org/web/20230823155758/http:/www.pdvsa.com/images/pdf/balancededeuda2016.pdf" xr:uid="{C8E92561-3C2C-3D4E-A8F9-024A68119200}"/>
    <hyperlink ref="K129" r:id="rId155" xr:uid="{ACA5D596-0980-464C-9FA1-1DB8EF822ED5}"/>
    <hyperlink ref="J135" r:id="rId156" display="https://web.archive.org/web/20171228192851/https:/www.sec.gov/Archives/edgar/data/103198/000119312517376486/d505622dex99d.htm" xr:uid="{ACF595C0-953C-9B4D-86BD-C40622EF71DC}"/>
    <hyperlink ref="K135" r:id="rId157" xr:uid="{F6E5B9A4-4F15-6440-9DEE-44E07EA40C99}"/>
    <hyperlink ref="K5" r:id="rId158" xr:uid="{9C8C39EA-B60E-D045-A08A-07F8E6902FF7}"/>
    <hyperlink ref="J9" r:id="rId159" xr:uid="{CF19176F-1532-F949-9CAA-7279B18B9AF0}"/>
    <hyperlink ref="K9" r:id="rId160" xr:uid="{2865894A-EC1A-324C-A909-25662D803E71}"/>
    <hyperlink ref="K19" r:id="rId161" xr:uid="{59C99231-206A-D745-85DC-E3AB261F1785}"/>
    <hyperlink ref="K17" r:id="rId162" display="https://web.archive.org/web/20220709192542/https://www.argentina.gob.ar/sites/default/files/memoria_de_gestion_2015-2019_0.pdf" xr:uid="{CDEE6911-3F18-E644-949C-C187F8A0C1A3}"/>
    <hyperlink ref="K51" r:id="rId163" xr:uid="{78E5C2CA-3E6F-FD4E-B5D4-4EA08701BFD4}"/>
    <hyperlink ref="J21" r:id="rId164" xr:uid="{C620199C-F05B-3048-A74E-A08746DFF83D}"/>
    <hyperlink ref="K21" r:id="rId165" xr:uid="{6D37CBF5-FD3C-4D4D-A7D9-89E15DE2D924}"/>
    <hyperlink ref="J27" r:id="rId166" xr:uid="{08CA7925-4EA3-8642-BECB-0997502D220C}"/>
    <hyperlink ref="K30" r:id="rId167" xr:uid="{B5AB63C5-97DF-AF4F-9C5F-8AE410C1567B}"/>
    <hyperlink ref="J32" r:id="rId168" xr:uid="{F59C47DA-5F7A-3846-BFC4-E33FB6AD89CA}"/>
    <hyperlink ref="J37" r:id="rId169" xr:uid="{E5415FD2-EF3A-3140-99B4-72B7DB1897BE}"/>
    <hyperlink ref="K38" r:id="rId170" xr:uid="{3CF13920-D5D8-0046-89EB-85CFE1398D90}"/>
    <hyperlink ref="K39" r:id="rId171" display="https://web.archive.org/web/20240306201051/https://mz-filemanager.s3.amazonaws.com/25fdf098-34f5-4608-b7fa-17d60b2de47d/comunicados-ao-mercadocentral-de-downloads/3f5bd1188c20730b2ebc6390093709af2475a87fbba2edabdd9414784558a56c/clarification_on_news_conditions_of_the_loan_with_.pdf" xr:uid="{BC4AA92F-4409-9949-8CE6-99741D3D4CB5}"/>
    <hyperlink ref="J42" r:id="rId172" xr:uid="{F1B7CE00-A329-4D41-8E7D-DD311997219C}"/>
    <hyperlink ref="K42" r:id="rId173" xr:uid="{5EBFA6CC-83E4-2142-AEF4-E52C0596EF82}"/>
    <hyperlink ref="J47" r:id="rId174" xr:uid="{EC9C4BB6-8849-CD4A-8452-18A3F879EEC3}"/>
    <hyperlink ref="K47" r:id="rId175" xr:uid="{A486C0C8-042A-184A-97D6-77E71C4B149F}"/>
    <hyperlink ref="K53" r:id="rId176" xr:uid="{B1A24536-4D4F-3249-8F54-CA681F79E185}"/>
    <hyperlink ref="K59" r:id="rId177" xr:uid="{923BE902-3ECA-3B42-A325-4B280D29CEFB}"/>
    <hyperlink ref="J64" r:id="rId178" xr:uid="{D5A6E6D6-47D9-E449-85FE-81DBCAA68188}"/>
    <hyperlink ref="K91" r:id="rId179" xr:uid="{94ED1D39-1851-E74B-A4FF-3E6D5EE00E6B}"/>
    <hyperlink ref="K96" r:id="rId180" location="google_vignette" xr:uid="{AF48C9D1-FF11-1D45-9BE1-C81C35D6F33A}"/>
    <hyperlink ref="K97" r:id="rId181" xr:uid="{D0B0B66D-FFC9-C64B-BEA7-40B854210CB6}"/>
    <hyperlink ref="J106" r:id="rId182" xr:uid="{2DE7ECCE-B59D-AB40-8929-006429334C99}"/>
    <hyperlink ref="K107" r:id="rId183" xr:uid="{5AAE78D5-C505-B947-A4A1-C3EFC4781F4E}"/>
    <hyperlink ref="J24" r:id="rId184" xr:uid="{5AA96C1A-2A99-A64D-8882-B96216970469}"/>
    <hyperlink ref="K111" r:id="rId185" xr:uid="{B25230E2-5FA3-E647-A04C-E7CA66291C34}"/>
    <hyperlink ref="J112" r:id="rId186" xr:uid="{97A116EF-18C5-3C48-B441-C43C6585BBDE}"/>
    <hyperlink ref="K112" r:id="rId187" xr:uid="{92F53FED-541E-E944-9D8F-3CCDE2F7C727}"/>
    <hyperlink ref="K117" r:id="rId188" xr:uid="{8618181E-0290-1843-A5BF-395057575DCE}"/>
    <hyperlink ref="K118" r:id="rId189" xr:uid="{28753477-81D8-6C42-81BE-5872BA8FE624}"/>
    <hyperlink ref="K120" r:id="rId190" xr:uid="{6C0751ED-A872-3841-AC50-F32EE7D42C12}"/>
    <hyperlink ref="J123" r:id="rId191" display="http://web.archive.org/web/20210712081545/https:/www.sec.gov/Archives/edgar/data/103198/000119312515333744/d83375dex99d.htm" xr:uid="{0FC8EB62-9F29-6242-846C-A67D963FC73F}"/>
    <hyperlink ref="K123" r:id="rId192" xr:uid="{91826563-9472-2648-9283-C12439D2780B}"/>
    <hyperlink ref="J126" r:id="rId193" display="http://web.archive.org/web/20210712081545/https:/www.sec.gov/Archives/edgar/data/103198/000119312515333744/d83375dex99d.htm" xr:uid="{2594AC24-4796-614F-8CE8-627763AB8013}"/>
    <hyperlink ref="J128" r:id="rId194" display="http://web.archive.org/web/20210712081545/https:/www.sec.gov/Archives/edgar/data/103198/000119312515333744/d83375dex99d.htm" xr:uid="{C8928A22-1F9D-E041-8268-9758371F635F}"/>
    <hyperlink ref="J127" r:id="rId195" display="http://web.archive.org/web/20210712081545/https:/www.sec.gov/Archives/edgar/data/103198/000119312515333744/d83375dex99d.htm" xr:uid="{855FCA7D-4F50-3444-A1ED-9C365BE72131}"/>
    <hyperlink ref="K132" r:id="rId196" xr:uid="{EA609256-1EEE-FC46-A006-B75C2D87FAB6}"/>
    <hyperlink ref="J132" r:id="rId197" xr:uid="{A2041670-79E8-4D4A-806E-48337AE8F915}"/>
    <hyperlink ref="J131" r:id="rId198" display="http://web.archive.org/web/20210712081545/https:/www.sec.gov/Archives/edgar/data/103198/000119312515333744/d83375dex99d.htm" xr:uid="{0F316072-16BB-0445-BD6B-80413D49CC06}"/>
    <hyperlink ref="J133" r:id="rId199" xr:uid="{67C54FE0-6307-6D4B-BA4D-0C58945B3086}"/>
    <hyperlink ref="K133" r:id="rId200" xr:uid="{5266B6B6-3857-BE47-912D-EB2215741500}"/>
    <hyperlink ref="K92" r:id="rId201" xr:uid="{E6E52D17-2EE6-6248-B2E4-C6096480617F}"/>
    <hyperlink ref="J14" r:id="rId202" display="http://news.ifeng.com/a/20140719/41225944_0.shtml" xr:uid="{B667AD5F-E3AE-9A4D-AE7E-797A5C5B52EE}"/>
    <hyperlink ref="K14" r:id="rId203" xr:uid="{027929C6-E7B3-2A4C-AD29-348395FDAF1C}"/>
    <hyperlink ref="J35" r:id="rId204" display="http://web.archive.org/web/20220306105147/https:/www.sec.gov/Archives/edgar/data/1119639/000129281407003654/pbra20071227_6k.htm" xr:uid="{49298DF8-C42C-6B42-A964-27F31C3F7D70}"/>
    <hyperlink ref="J85" r:id="rId205" display="https://web.archive.org/web/20231227013340/https:/www.finanzas.gob.ec/wp-content/uploads/downloads/2013/02/DE_DIC_2011.pdf" xr:uid="{4E09E9AD-64B7-4948-BADE-44AC09B801B2}"/>
    <hyperlink ref="K65" r:id="rId206" xr:uid="{C3795877-5C97-4DB7-AE18-7F9F472E6109}"/>
  </hyperlinks>
  <pageMargins left="0.7" right="0.7" top="0.75" bottom="0.75" header="0.3" footer="0.3"/>
  <pageSetup orientation="portrait" horizontalDpi="0" verticalDpi="0"/>
  <drawing r:id="rId2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4BFA-FF48-4727-AB6F-FDF416E538F0}">
  <dimension ref="A1:B23"/>
  <sheetViews>
    <sheetView workbookViewId="0"/>
  </sheetViews>
  <sheetFormatPr baseColWidth="10" defaultColWidth="8.83203125" defaultRowHeight="15" x14ac:dyDescent="0.2"/>
  <cols>
    <col min="1" max="1" width="11.33203125" style="1" bestFit="1" customWidth="1"/>
    <col min="2" max="2" width="17.33203125" style="1" bestFit="1" customWidth="1"/>
    <col min="3" max="16384" width="8.83203125" style="1"/>
  </cols>
  <sheetData>
    <row r="1" spans="1:2" x14ac:dyDescent="0.2">
      <c r="A1" s="19" t="s">
        <v>4</v>
      </c>
      <c r="B1" s="19" t="s">
        <v>518</v>
      </c>
    </row>
    <row r="2" spans="1:2" x14ac:dyDescent="0.2">
      <c r="A2" s="19" t="s">
        <v>6</v>
      </c>
      <c r="B2" s="19" t="s">
        <v>518</v>
      </c>
    </row>
    <row r="3" spans="1:2" x14ac:dyDescent="0.2">
      <c r="A3" s="21" t="s">
        <v>8</v>
      </c>
      <c r="B3" s="21" t="s">
        <v>518</v>
      </c>
    </row>
    <row r="5" spans="1:2" x14ac:dyDescent="0.2">
      <c r="A5" s="21" t="s">
        <v>519</v>
      </c>
      <c r="B5" s="21" t="s">
        <v>520</v>
      </c>
    </row>
    <row r="6" spans="1:2" x14ac:dyDescent="0.2">
      <c r="A6" s="17">
        <v>2005</v>
      </c>
      <c r="B6" s="18">
        <v>62.97</v>
      </c>
    </row>
    <row r="7" spans="1:2" x14ac:dyDescent="0.2">
      <c r="A7" s="17">
        <v>2007</v>
      </c>
      <c r="B7" s="18">
        <v>5143.7700000000004</v>
      </c>
    </row>
    <row r="8" spans="1:2" x14ac:dyDescent="0.2">
      <c r="A8" s="17">
        <v>2008</v>
      </c>
      <c r="B8" s="18">
        <v>276.2</v>
      </c>
    </row>
    <row r="9" spans="1:2" x14ac:dyDescent="0.2">
      <c r="A9" s="17">
        <v>2009</v>
      </c>
      <c r="B9" s="18">
        <v>15660</v>
      </c>
    </row>
    <row r="10" spans="1:2" x14ac:dyDescent="0.2">
      <c r="A10" s="17">
        <v>2010</v>
      </c>
      <c r="B10" s="18">
        <v>24458.044999999998</v>
      </c>
    </row>
    <row r="11" spans="1:2" x14ac:dyDescent="0.2">
      <c r="A11" s="17">
        <v>2011</v>
      </c>
      <c r="B11" s="18">
        <v>8464.8915539600002</v>
      </c>
    </row>
    <row r="12" spans="1:2" x14ac:dyDescent="0.2">
      <c r="A12" s="17">
        <v>2012</v>
      </c>
      <c r="B12" s="18">
        <v>5098.3</v>
      </c>
    </row>
    <row r="13" spans="1:2" x14ac:dyDescent="0.2">
      <c r="A13" s="17">
        <v>2013</v>
      </c>
      <c r="B13" s="18">
        <v>12581.31</v>
      </c>
    </row>
    <row r="14" spans="1:2" x14ac:dyDescent="0.2">
      <c r="A14" s="17">
        <v>2014</v>
      </c>
      <c r="B14" s="18">
        <v>10569.30421665</v>
      </c>
    </row>
    <row r="15" spans="1:2" x14ac:dyDescent="0.2">
      <c r="A15" s="17">
        <v>2015</v>
      </c>
      <c r="B15" s="18">
        <v>13674.51</v>
      </c>
    </row>
    <row r="16" spans="1:2" x14ac:dyDescent="0.2">
      <c r="A16" s="17">
        <v>2016</v>
      </c>
      <c r="B16" s="18">
        <v>10798.139999999998</v>
      </c>
    </row>
    <row r="17" spans="1:2" x14ac:dyDescent="0.2">
      <c r="A17" s="17">
        <v>2017</v>
      </c>
      <c r="B17" s="18">
        <v>6756.6</v>
      </c>
    </row>
    <row r="18" spans="1:2" x14ac:dyDescent="0.2">
      <c r="A18" s="17">
        <v>2018</v>
      </c>
      <c r="B18" s="18">
        <v>1017.5500000000001</v>
      </c>
    </row>
    <row r="19" spans="1:2" x14ac:dyDescent="0.2">
      <c r="A19" s="17">
        <v>2019</v>
      </c>
      <c r="B19" s="18">
        <v>3428.8899999999994</v>
      </c>
    </row>
    <row r="20" spans="1:2" x14ac:dyDescent="0.2">
      <c r="A20" s="17">
        <v>2021</v>
      </c>
      <c r="B20" s="18">
        <v>204</v>
      </c>
    </row>
    <row r="21" spans="1:2" x14ac:dyDescent="0.2">
      <c r="A21" s="17">
        <v>2022</v>
      </c>
      <c r="B21" s="18">
        <v>863</v>
      </c>
    </row>
    <row r="22" spans="1:2" x14ac:dyDescent="0.2">
      <c r="A22" s="22">
        <v>2023</v>
      </c>
      <c r="B22" s="23">
        <v>1300</v>
      </c>
    </row>
    <row r="23" spans="1:2" x14ac:dyDescent="0.2">
      <c r="A23" s="20" t="s">
        <v>521</v>
      </c>
      <c r="B23" s="24">
        <v>120357.48077061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CLLAC_2024</vt:lpstr>
      <vt:lpstr>PIV_TABLE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Ray, Rebecca</dc:creator>
  <cp:keywords/>
  <dc:description/>
  <cp:lastModifiedBy>Martinez López, Mariana</cp:lastModifiedBy>
  <cp:revision/>
  <dcterms:created xsi:type="dcterms:W3CDTF">2024-03-06T20:14:45Z</dcterms:created>
  <dcterms:modified xsi:type="dcterms:W3CDTF">2026-03-16T10:28:33Z</dcterms:modified>
  <cp:category/>
  <cp:contentStatus/>
</cp:coreProperties>
</file>